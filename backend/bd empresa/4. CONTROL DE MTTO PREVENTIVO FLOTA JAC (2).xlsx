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clave\OneDrive\Desktop\CONTROL DE MTTO\"/>
    </mc:Choice>
  </mc:AlternateContent>
  <xr:revisionPtr revIDLastSave="0" documentId="13_ncr:1_{DA8E5303-1CF3-489F-AD4D-1AB3CD03148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TTO PREVENTIVO 1500kl" sheetId="1" r:id="rId1"/>
    <sheet name="MTTO PREVENTIVO 5000kl " sheetId="11" r:id="rId2"/>
    <sheet name="BATERIAS " sheetId="2" r:id="rId3"/>
    <sheet name="CAUCHOS SENCILLO  " sheetId="5" r:id="rId4"/>
    <sheet name="BANDAS " sheetId="6" r:id="rId5"/>
    <sheet name="CORREAS " sheetId="7" r:id="rId6"/>
    <sheet name="IMPREMENTOS " sheetId="10" r:id="rId7"/>
    <sheet name="TIPOS DE ACEITE " sheetId="8" r:id="rId8"/>
    <sheet name="TIPOS DE CORREAS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1" l="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4" i="11"/>
  <c r="F26" i="11"/>
  <c r="F24" i="11" l="1"/>
  <c r="L24" i="11"/>
  <c r="O24" i="11"/>
  <c r="U24" i="11"/>
  <c r="F25" i="11"/>
  <c r="L25" i="11"/>
  <c r="O25" i="11"/>
  <c r="U25" i="11"/>
  <c r="L26" i="11"/>
  <c r="O26" i="11"/>
  <c r="U26" i="11"/>
  <c r="F27" i="11"/>
  <c r="L27" i="11"/>
  <c r="O27" i="11"/>
  <c r="U27" i="11"/>
  <c r="F28" i="11"/>
  <c r="L28" i="11"/>
  <c r="O28" i="11"/>
  <c r="U28" i="11"/>
  <c r="F29" i="11"/>
  <c r="L29" i="11"/>
  <c r="O29" i="11"/>
  <c r="U29" i="11"/>
  <c r="E8" i="1" l="1"/>
  <c r="F5" i="11" l="1"/>
  <c r="F6" i="11"/>
  <c r="F7" i="11"/>
  <c r="F8" i="11"/>
  <c r="F9" i="11"/>
  <c r="F10" i="11"/>
  <c r="F11" i="11"/>
  <c r="F12" i="11"/>
  <c r="F13" i="11"/>
  <c r="F15" i="11"/>
  <c r="F16" i="11"/>
  <c r="F17" i="11"/>
  <c r="F18" i="11"/>
  <c r="F19" i="11"/>
  <c r="F20" i="11"/>
  <c r="F21" i="11"/>
  <c r="F22" i="11"/>
  <c r="F23" i="11"/>
  <c r="F4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5" i="11"/>
  <c r="U6" i="11"/>
  <c r="U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O4" i="11"/>
  <c r="L4" i="1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AD16" i="5" l="1"/>
  <c r="Y16" i="5"/>
  <c r="S16" i="5"/>
  <c r="M16" i="5"/>
  <c r="G16" i="5"/>
  <c r="AD5" i="5"/>
  <c r="AD6" i="5"/>
  <c r="AD7" i="5"/>
  <c r="AD8" i="5"/>
  <c r="AD9" i="5"/>
  <c r="AD10" i="5"/>
  <c r="AD11" i="5"/>
  <c r="AD12" i="5"/>
  <c r="AD13" i="5"/>
  <c r="AD14" i="5"/>
  <c r="AD15" i="5"/>
  <c r="AD4" i="5"/>
  <c r="Y14" i="5"/>
  <c r="Y15" i="5"/>
  <c r="S14" i="5"/>
  <c r="S15" i="5"/>
  <c r="M14" i="5"/>
  <c r="M15" i="5"/>
  <c r="G14" i="5"/>
  <c r="G15" i="5"/>
  <c r="C4" i="2"/>
  <c r="Y5" i="5"/>
  <c r="Y6" i="5"/>
  <c r="Y7" i="5"/>
  <c r="Y8" i="5"/>
  <c r="Y9" i="5"/>
  <c r="Y10" i="5"/>
  <c r="Y11" i="5"/>
  <c r="Y12" i="5"/>
  <c r="Y13" i="5"/>
  <c r="S5" i="5"/>
  <c r="S6" i="5"/>
  <c r="S7" i="5"/>
  <c r="S8" i="5"/>
  <c r="S9" i="5"/>
  <c r="S10" i="5"/>
  <c r="S11" i="5"/>
  <c r="S12" i="5"/>
  <c r="S13" i="5"/>
  <c r="M5" i="5"/>
  <c r="M6" i="5"/>
  <c r="M7" i="5"/>
  <c r="M8" i="5"/>
  <c r="M9" i="5"/>
  <c r="M10" i="5"/>
  <c r="M11" i="5"/>
  <c r="M12" i="5"/>
  <c r="M13" i="5"/>
  <c r="G5" i="5"/>
  <c r="G6" i="5"/>
  <c r="G7" i="5"/>
  <c r="G8" i="5"/>
  <c r="G9" i="5"/>
  <c r="G10" i="5"/>
  <c r="G11" i="5"/>
  <c r="G12" i="5"/>
  <c r="G13" i="5"/>
  <c r="Y4" i="5"/>
  <c r="S4" i="5"/>
  <c r="M4" i="5"/>
  <c r="G4" i="5"/>
  <c r="C3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</calcChain>
</file>

<file path=xl/sharedStrings.xml><?xml version="1.0" encoding="utf-8"?>
<sst xmlns="http://schemas.openxmlformats.org/spreadsheetml/2006/main" count="824" uniqueCount="209">
  <si>
    <t>N°</t>
  </si>
  <si>
    <t>PLACAS</t>
  </si>
  <si>
    <t xml:space="preserve">KM ACTUAL </t>
  </si>
  <si>
    <t>RECORRIDO</t>
  </si>
  <si>
    <t xml:space="preserve">KM ULTIMO CAMBIO </t>
  </si>
  <si>
    <t>FECHA</t>
  </si>
  <si>
    <t xml:space="preserve">KM PROX CAMBIO </t>
  </si>
  <si>
    <t xml:space="preserve">FECHA </t>
  </si>
  <si>
    <t xml:space="preserve">GRADUACION DE FRENOS </t>
  </si>
  <si>
    <t xml:space="preserve">ROTACION DE CAUCHO </t>
  </si>
  <si>
    <t xml:space="preserve">KM ULTIMA ROTACION </t>
  </si>
  <si>
    <t xml:space="preserve">KM PROX ROTACION </t>
  </si>
  <si>
    <t>KM ULTIMO ENGRASE</t>
  </si>
  <si>
    <t xml:space="preserve">KM PROX ENGRASE </t>
  </si>
  <si>
    <t xml:space="preserve">KM ULTIMO GRADUACION </t>
  </si>
  <si>
    <t xml:space="preserve">KM PROX GRADUACION  </t>
  </si>
  <si>
    <t>KM ULTIM LIMPIEZA</t>
  </si>
  <si>
    <t>KM PROX LIMPIEZA</t>
  </si>
  <si>
    <t>KM DEL CHEQUEO</t>
  </si>
  <si>
    <t xml:space="preserve">KM ULTIMO SERVICIO </t>
  </si>
  <si>
    <t xml:space="preserve">KM PROX SERVICIO </t>
  </si>
  <si>
    <t xml:space="preserve">LAVADO DE MOTOR Y CHASIS </t>
  </si>
  <si>
    <t>SERIAL</t>
  </si>
  <si>
    <t>AMP</t>
  </si>
  <si>
    <t>MARCA</t>
  </si>
  <si>
    <t xml:space="preserve">KM DE CAMBIO </t>
  </si>
  <si>
    <t xml:space="preserve">AÑO </t>
  </si>
  <si>
    <t>CODIGO</t>
  </si>
  <si>
    <t xml:space="preserve">CHOFER </t>
  </si>
  <si>
    <t>COPILOTO</t>
  </si>
  <si>
    <t>CHOFER</t>
  </si>
  <si>
    <t>DELANTERA</t>
  </si>
  <si>
    <t>CONTROL DE BATERIAS</t>
  </si>
  <si>
    <t xml:space="preserve"> TRASERA </t>
  </si>
  <si>
    <t xml:space="preserve">TRASERA </t>
  </si>
  <si>
    <t xml:space="preserve">PURGADO BOMBONAS DE FRENO </t>
  </si>
  <si>
    <t>ACEITE  Y FILTRO</t>
  </si>
  <si>
    <t>FILTRO DE AIRE MOTOR</t>
  </si>
  <si>
    <t>LIMPIEZA FILTRO INTERNO  A/A</t>
  </si>
  <si>
    <t xml:space="preserve">LIMPIEZA DE TANQUE COMBUSTIBLE </t>
  </si>
  <si>
    <t xml:space="preserve">ENGRASE </t>
  </si>
  <si>
    <t xml:space="preserve">ESTADO </t>
  </si>
  <si>
    <t xml:space="preserve">FECHA VENCIMIENTO GARANTIA  </t>
  </si>
  <si>
    <t xml:space="preserve">MARCA </t>
  </si>
  <si>
    <t>ESTADO</t>
  </si>
  <si>
    <t xml:space="preserve">KM  ULTIMO CAMBIO  </t>
  </si>
  <si>
    <t>ESTADO DE BANDAS / PASTILLAS  DELANTERAS PILOTO</t>
  </si>
  <si>
    <t>ESTADO DE BANDAS / PASTILLAS  DELANTERAS COPILOTO</t>
  </si>
  <si>
    <t>ESTADO DE BANDAS /PASTILLAS  TRASERAS   PILOTO</t>
  </si>
  <si>
    <t>ESTADO DE BANDAS / PASTILLAS  TRASERAS COPILOTO</t>
  </si>
  <si>
    <t>CORREA DE LA PLANTA</t>
  </si>
  <si>
    <t>CORREAS DE MOTOR</t>
  </si>
  <si>
    <t>CORREAS DEL COMPRESOR A/A</t>
  </si>
  <si>
    <t xml:space="preserve">CORREA UNICA </t>
  </si>
  <si>
    <t>UNIDAD</t>
  </si>
  <si>
    <t>ACEITE</t>
  </si>
  <si>
    <t xml:space="preserve">NOMENCLATURA </t>
  </si>
  <si>
    <t xml:space="preserve">CANTIDAD </t>
  </si>
  <si>
    <t>FILTRO</t>
  </si>
  <si>
    <t>ENT - 900</t>
  </si>
  <si>
    <t>SEMI SINTETICO</t>
  </si>
  <si>
    <t>15W 40</t>
  </si>
  <si>
    <t xml:space="preserve">MOBIL </t>
  </si>
  <si>
    <t xml:space="preserve">14 LITROS </t>
  </si>
  <si>
    <t>ENT -610</t>
  </si>
  <si>
    <t>ENT - 710</t>
  </si>
  <si>
    <t xml:space="preserve">18 LITROS </t>
  </si>
  <si>
    <t xml:space="preserve">HIGER </t>
  </si>
  <si>
    <t>G 7</t>
  </si>
  <si>
    <t xml:space="preserve">46 LITROS </t>
  </si>
  <si>
    <t>L200  D</t>
  </si>
  <si>
    <t xml:space="preserve">MINERAL </t>
  </si>
  <si>
    <t>SHELL RIMULA R4</t>
  </si>
  <si>
    <t xml:space="preserve">7 LITROS </t>
  </si>
  <si>
    <t xml:space="preserve">4 RUNNER </t>
  </si>
  <si>
    <t>FULL SINTETICO</t>
  </si>
  <si>
    <t>5W 30</t>
  </si>
  <si>
    <t>SHELL</t>
  </si>
  <si>
    <t>RAIZE</t>
  </si>
  <si>
    <t xml:space="preserve">4 LITROS </t>
  </si>
  <si>
    <t xml:space="preserve">TUNDRA </t>
  </si>
  <si>
    <t>SANTA CRUZ</t>
  </si>
  <si>
    <t xml:space="preserve">TUCSON </t>
  </si>
  <si>
    <t>SUPER DUTTY</t>
  </si>
  <si>
    <t>SILVERADO</t>
  </si>
  <si>
    <t xml:space="preserve">FULL BACK </t>
  </si>
  <si>
    <t>7,5 LITROS</t>
  </si>
  <si>
    <t xml:space="preserve">HIACE G </t>
  </si>
  <si>
    <t>7 LITROS</t>
  </si>
  <si>
    <t>HIACE D</t>
  </si>
  <si>
    <t>H1</t>
  </si>
  <si>
    <t xml:space="preserve">4,5 LITROS </t>
  </si>
  <si>
    <t xml:space="preserve">MAXUS </t>
  </si>
  <si>
    <t>FOTON</t>
  </si>
  <si>
    <t xml:space="preserve">ENCAVA D </t>
  </si>
  <si>
    <t>COROLLA</t>
  </si>
  <si>
    <t xml:space="preserve">5 LITROS </t>
  </si>
  <si>
    <t xml:space="preserve">CORREA DE LA PLANTA </t>
  </si>
  <si>
    <t xml:space="preserve">CORREAS DE  MOTOR </t>
  </si>
  <si>
    <t xml:space="preserve">CANT </t>
  </si>
  <si>
    <t>CORREA DEL COMPRESOR A/A</t>
  </si>
  <si>
    <t>BX42</t>
  </si>
  <si>
    <t>BX60</t>
  </si>
  <si>
    <t>BX41 / BX42</t>
  </si>
  <si>
    <t>BX44</t>
  </si>
  <si>
    <t>BX46</t>
  </si>
  <si>
    <t xml:space="preserve">ENT - 710 ORIGINAL </t>
  </si>
  <si>
    <t>BX57</t>
  </si>
  <si>
    <t>BX55</t>
  </si>
  <si>
    <t>8PK1765</t>
  </si>
  <si>
    <t xml:space="preserve">ENT - 710 MODIFICADO </t>
  </si>
  <si>
    <t>BX47</t>
  </si>
  <si>
    <t>BX66</t>
  </si>
  <si>
    <t>4PK863</t>
  </si>
  <si>
    <t>6PK2687</t>
  </si>
  <si>
    <t>6PK1495</t>
  </si>
  <si>
    <t>6PK2355</t>
  </si>
  <si>
    <t>6PK1221</t>
  </si>
  <si>
    <t xml:space="preserve"> CORREA FAN CLUTCH</t>
  </si>
  <si>
    <t>AV2 X 1115</t>
  </si>
  <si>
    <t xml:space="preserve">FECHA DE COMPRA </t>
  </si>
  <si>
    <t xml:space="preserve"> ULTIMO  CHEQUEO</t>
  </si>
  <si>
    <t xml:space="preserve">TITULO </t>
  </si>
  <si>
    <t xml:space="preserve">POLIZA </t>
  </si>
  <si>
    <t>AUTORIZACION</t>
  </si>
  <si>
    <t xml:space="preserve">EXTINTOR </t>
  </si>
  <si>
    <t xml:space="preserve">CAUCHO DE REPUESTO </t>
  </si>
  <si>
    <t>CAUCHO DE REPUESTO</t>
  </si>
  <si>
    <t xml:space="preserve">TRIANGULO </t>
  </si>
  <si>
    <t xml:space="preserve">GATO </t>
  </si>
  <si>
    <t>LLAVE DE RUEDA</t>
  </si>
  <si>
    <t xml:space="preserve">PALANCA </t>
  </si>
  <si>
    <t xml:space="preserve">MANIVELA </t>
  </si>
  <si>
    <t xml:space="preserve">CONTROL DE IMPLEMENTOS </t>
  </si>
  <si>
    <t>PIMPINA</t>
  </si>
  <si>
    <t>A2860AG</t>
  </si>
  <si>
    <t>A2865AG</t>
  </si>
  <si>
    <t>A2866AG</t>
  </si>
  <si>
    <t>A0645AM</t>
  </si>
  <si>
    <t>A3024AG</t>
  </si>
  <si>
    <t>A0642AM</t>
  </si>
  <si>
    <t>A0647AM</t>
  </si>
  <si>
    <t>A0644AM</t>
  </si>
  <si>
    <t>AD171BF</t>
  </si>
  <si>
    <t>AD173BF</t>
  </si>
  <si>
    <t>AD174BF</t>
  </si>
  <si>
    <t>AD176BF</t>
  </si>
  <si>
    <t>AD178BF</t>
  </si>
  <si>
    <t>AD179BF</t>
  </si>
  <si>
    <t>AB613GH</t>
  </si>
  <si>
    <t>AB617GH</t>
  </si>
  <si>
    <t>AB614LH</t>
  </si>
  <si>
    <t>AB616LH</t>
  </si>
  <si>
    <t>AB042DH</t>
  </si>
  <si>
    <t>AB046DH</t>
  </si>
  <si>
    <t>B42</t>
  </si>
  <si>
    <t>X</t>
  </si>
  <si>
    <t>GREENTRAC</t>
  </si>
  <si>
    <t>235/65/R16C</t>
  </si>
  <si>
    <t>BRIDGESTONE</t>
  </si>
  <si>
    <t>COMPASAL VANMAX</t>
  </si>
  <si>
    <t>215/75/R16C</t>
  </si>
  <si>
    <t>YOKOHAMA</t>
  </si>
  <si>
    <t>CHAO YANG</t>
  </si>
  <si>
    <t>195/95/R15</t>
  </si>
  <si>
    <t>FULGOR</t>
  </si>
  <si>
    <t>PROPULSION</t>
  </si>
  <si>
    <t>A92AW2N</t>
  </si>
  <si>
    <t>DELINTE</t>
  </si>
  <si>
    <t>AB259JH</t>
  </si>
  <si>
    <t>APLUS</t>
  </si>
  <si>
    <t xml:space="preserve"> 215/70R15C.</t>
  </si>
  <si>
    <t>FILTRO  DE COMBUSTIBLE</t>
  </si>
  <si>
    <t>AB260JH</t>
  </si>
  <si>
    <t>AB368FH</t>
  </si>
  <si>
    <t>AB369FH</t>
  </si>
  <si>
    <t>AB370FH</t>
  </si>
  <si>
    <t>AB371FH</t>
  </si>
  <si>
    <t>AB876YI</t>
  </si>
  <si>
    <t>AB887YI</t>
  </si>
  <si>
    <t>AB975WI</t>
  </si>
  <si>
    <t>AB872YI</t>
  </si>
  <si>
    <t>AB873YI</t>
  </si>
  <si>
    <t>AB874YI</t>
  </si>
  <si>
    <t>AB875YI</t>
  </si>
  <si>
    <t>AB913TI</t>
  </si>
  <si>
    <t>AB919TI</t>
  </si>
  <si>
    <t>AB952WI</t>
  </si>
  <si>
    <t>AB953WI</t>
  </si>
  <si>
    <t>AB966WI</t>
  </si>
  <si>
    <t>A26DK5K</t>
  </si>
  <si>
    <t>AC852AI</t>
  </si>
  <si>
    <t>AB908UI</t>
  </si>
  <si>
    <t>AB923UI</t>
  </si>
  <si>
    <t>AB924UI</t>
  </si>
  <si>
    <t>AB926ZI</t>
  </si>
  <si>
    <t>AB958XI</t>
  </si>
  <si>
    <t>MODELO</t>
  </si>
  <si>
    <t>SEDE</t>
  </si>
  <si>
    <t>BNA</t>
  </si>
  <si>
    <t>GABI</t>
  </si>
  <si>
    <t>COLINA</t>
  </si>
  <si>
    <t>CCS</t>
  </si>
  <si>
    <t>MCBO</t>
  </si>
  <si>
    <t>PLC</t>
  </si>
  <si>
    <t>PIRITU</t>
  </si>
  <si>
    <t>EL TIGRE</t>
  </si>
  <si>
    <t>PICK UP</t>
  </si>
  <si>
    <t>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</si>
</sst>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name val="Arial"/>
      <family val="2"/>
    </font>
    <font>
      <sz val="16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protection locked="0"/>
    </xf>
  </cellStyleXfs>
  <cellXfs count="221">
    <xf numFmtId="0" fontId="0" fillId="0" borderId="0" xfId="0"/>
    <xf numFmtId="0" fontId="0" fillId="0" borderId="1" xfId="0" applyBorder="1"/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13" borderId="1" xfId="0" applyFill="1" applyBorder="1"/>
    <xf numFmtId="0" fontId="0" fillId="2" borderId="1" xfId="0" applyFill="1" applyBorder="1"/>
    <xf numFmtId="0" fontId="6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0" borderId="0" xfId="0" applyFont="1"/>
    <xf numFmtId="0" fontId="3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/>
    </xf>
    <xf numFmtId="0" fontId="7" fillId="2" borderId="1" xfId="0" applyFont="1" applyFill="1" applyBorder="1" applyAlignment="1" applyProtection="1">
      <alignment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9" fillId="0" borderId="9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13" borderId="1" xfId="0" applyFont="1" applyFill="1" applyBorder="1" applyAlignment="1" applyProtection="1">
      <alignment horizontal="center" vertic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0" fontId="9" fillId="13" borderId="4" xfId="0" applyFont="1" applyFill="1" applyBorder="1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14" fontId="5" fillId="3" borderId="1" xfId="0" applyNumberFormat="1" applyFont="1" applyFill="1" applyBorder="1" applyProtection="1">
      <protection locked="0"/>
    </xf>
    <xf numFmtId="14" fontId="5" fillId="0" borderId="1" xfId="0" applyNumberFormat="1" applyFont="1" applyBorder="1" applyAlignment="1" applyProtection="1">
      <alignment horizontal="center"/>
      <protection locked="0"/>
    </xf>
    <xf numFmtId="0" fontId="5" fillId="0" borderId="1" xfId="0" applyFont="1" applyBorder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3" fillId="3" borderId="13" xfId="0" applyFont="1" applyFill="1" applyBorder="1" applyAlignment="1" applyProtection="1">
      <alignment horizontal="center" vertical="center" wrapText="1"/>
      <protection locked="0"/>
    </xf>
    <xf numFmtId="0" fontId="3" fillId="3" borderId="13" xfId="0" applyFont="1" applyFill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3" fillId="0" borderId="0" xfId="0" applyFont="1"/>
    <xf numFmtId="0" fontId="3" fillId="3" borderId="13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/>
    <xf numFmtId="0" fontId="5" fillId="0" borderId="0" xfId="0" applyFont="1"/>
    <xf numFmtId="0" fontId="2" fillId="0" borderId="0" xfId="0" applyFont="1" applyProtection="1"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3" borderId="2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Protection="1">
      <protection locked="0"/>
    </xf>
    <xf numFmtId="14" fontId="2" fillId="0" borderId="1" xfId="0" applyNumberFormat="1" applyFont="1" applyBorder="1" applyProtection="1">
      <protection locked="0"/>
    </xf>
    <xf numFmtId="0" fontId="9" fillId="3" borderId="4" xfId="0" applyFont="1" applyFill="1" applyBorder="1" applyAlignment="1" applyProtection="1">
      <alignment horizontal="center" vertical="center"/>
      <protection locked="0"/>
    </xf>
    <xf numFmtId="0" fontId="2" fillId="9" borderId="0" xfId="0" applyFont="1" applyFill="1" applyProtection="1">
      <protection locked="0"/>
    </xf>
    <xf numFmtId="0" fontId="2" fillId="0" borderId="0" xfId="0" applyFont="1"/>
    <xf numFmtId="0" fontId="2" fillId="0" borderId="4" xfId="0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9" borderId="1" xfId="0" applyFont="1" applyFill="1" applyBorder="1" applyProtection="1">
      <protection locked="0"/>
    </xf>
    <xf numFmtId="0" fontId="9" fillId="3" borderId="9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/>
      <protection locked="0"/>
    </xf>
    <xf numFmtId="0" fontId="2" fillId="0" borderId="9" xfId="0" applyFont="1" applyBorder="1"/>
    <xf numFmtId="0" fontId="2" fillId="10" borderId="12" xfId="0" applyFont="1" applyFill="1" applyBorder="1"/>
    <xf numFmtId="0" fontId="2" fillId="10" borderId="4" xfId="0" applyFont="1" applyFill="1" applyBorder="1"/>
    <xf numFmtId="0" fontId="2" fillId="0" borderId="1" xfId="0" applyFont="1" applyBorder="1"/>
    <xf numFmtId="0" fontId="2" fillId="10" borderId="1" xfId="0" applyFont="1" applyFill="1" applyBorder="1"/>
    <xf numFmtId="0" fontId="7" fillId="4" borderId="1" xfId="0" applyFont="1" applyFill="1" applyBorder="1" applyAlignment="1" applyProtection="1">
      <alignment vertic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7" fillId="5" borderId="1" xfId="0" applyFont="1" applyFill="1" applyBorder="1" applyAlignment="1" applyProtection="1">
      <alignment vertical="center"/>
      <protection locked="0"/>
    </xf>
    <xf numFmtId="0" fontId="7" fillId="6" borderId="1" xfId="0" applyFont="1" applyFill="1" applyBorder="1" applyAlignment="1" applyProtection="1">
      <alignment vertical="center"/>
      <protection locked="0"/>
    </xf>
    <xf numFmtId="0" fontId="7" fillId="0" borderId="1" xfId="0" applyFont="1" applyBorder="1" applyAlignment="1" applyProtection="1">
      <alignment vertical="center"/>
      <protection locked="0"/>
    </xf>
    <xf numFmtId="0" fontId="7" fillId="7" borderId="1" xfId="0" applyFont="1" applyFill="1" applyBorder="1" applyAlignment="1" applyProtection="1">
      <alignment vertical="center"/>
      <protection locked="0"/>
    </xf>
    <xf numFmtId="0" fontId="7" fillId="8" borderId="1" xfId="0" applyFont="1" applyFill="1" applyBorder="1" applyAlignment="1" applyProtection="1">
      <alignment vertical="center"/>
      <protection locked="0"/>
    </xf>
    <xf numFmtId="0" fontId="7" fillId="11" borderId="1" xfId="0" applyFont="1" applyFill="1" applyBorder="1" applyAlignment="1" applyProtection="1">
      <alignment vertical="center"/>
      <protection locked="0"/>
    </xf>
    <xf numFmtId="0" fontId="7" fillId="12" borderId="1" xfId="0" applyFont="1" applyFill="1" applyBorder="1" applyAlignment="1" applyProtection="1">
      <alignment vertical="center"/>
      <protection locked="0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0" fontId="7" fillId="4" borderId="1" xfId="0" applyFont="1" applyFill="1" applyBorder="1" applyAlignment="1" applyProtection="1">
      <alignment horizontal="center" vertical="center"/>
      <protection locked="0"/>
    </xf>
    <xf numFmtId="0" fontId="7" fillId="5" borderId="1" xfId="0" applyFont="1" applyFill="1" applyBorder="1" applyAlignment="1" applyProtection="1">
      <alignment horizontal="center" vertical="center" wrapText="1"/>
      <protection locked="0"/>
    </xf>
    <xf numFmtId="0" fontId="7" fillId="5" borderId="1" xfId="0" applyFont="1" applyFill="1" applyBorder="1" applyAlignment="1" applyProtection="1">
      <alignment horizontal="center" vertical="center"/>
      <protection locked="0"/>
    </xf>
    <xf numFmtId="0" fontId="7" fillId="6" borderId="1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0" fontId="7" fillId="7" borderId="1" xfId="0" applyFont="1" applyFill="1" applyBorder="1" applyAlignment="1" applyProtection="1">
      <alignment horizontal="center" vertical="center"/>
      <protection locked="0"/>
    </xf>
    <xf numFmtId="0" fontId="7" fillId="8" borderId="1" xfId="0" applyFont="1" applyFill="1" applyBorder="1" applyAlignment="1" applyProtection="1">
      <alignment horizontal="center" vertical="center" wrapText="1"/>
      <protection locked="0"/>
    </xf>
    <xf numFmtId="0" fontId="7" fillId="8" borderId="1" xfId="0" applyFont="1" applyFill="1" applyBorder="1" applyAlignment="1" applyProtection="1">
      <alignment horizontal="center" vertical="center"/>
      <protection locked="0"/>
    </xf>
    <xf numFmtId="0" fontId="7" fillId="11" borderId="1" xfId="0" applyFont="1" applyFill="1" applyBorder="1" applyAlignment="1" applyProtection="1">
      <alignment horizontal="center" vertical="center" wrapText="1"/>
      <protection locked="0"/>
    </xf>
    <xf numFmtId="0" fontId="7" fillId="11" borderId="1" xfId="0" applyFont="1" applyFill="1" applyBorder="1" applyAlignment="1" applyProtection="1">
      <alignment horizontal="center" vertical="center"/>
      <protection locked="0"/>
    </xf>
    <xf numFmtId="0" fontId="7" fillId="12" borderId="1" xfId="0" applyFont="1" applyFill="1" applyBorder="1" applyAlignment="1" applyProtection="1">
      <alignment horizontal="center" vertical="center" wrapText="1"/>
      <protection locked="0"/>
    </xf>
    <xf numFmtId="0" fontId="7" fillId="12" borderId="1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vertical="center"/>
    </xf>
    <xf numFmtId="0" fontId="7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vertical="center"/>
    </xf>
    <xf numFmtId="0" fontId="7" fillId="12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14" fontId="0" fillId="2" borderId="1" xfId="0" applyNumberFormat="1" applyFill="1" applyBorder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 applyProtection="1">
      <alignment vertical="center"/>
      <protection locked="0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 applyProtection="1">
      <alignment vertical="center"/>
      <protection locked="0"/>
    </xf>
    <xf numFmtId="0" fontId="6" fillId="13" borderId="1" xfId="0" applyFont="1" applyFill="1" applyBorder="1" applyAlignment="1">
      <alignment vertical="center"/>
    </xf>
    <xf numFmtId="0" fontId="6" fillId="13" borderId="0" xfId="0" applyFont="1" applyFill="1" applyProtection="1">
      <protection locked="0"/>
    </xf>
    <xf numFmtId="0" fontId="9" fillId="13" borderId="1" xfId="0" applyFont="1" applyFill="1" applyBorder="1" applyAlignment="1">
      <alignment horizontal="center" vertical="center"/>
    </xf>
    <xf numFmtId="0" fontId="6" fillId="13" borderId="0" xfId="0" applyFont="1" applyFill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vertical="center"/>
      <protection locked="0"/>
    </xf>
    <xf numFmtId="14" fontId="6" fillId="13" borderId="1" xfId="0" applyNumberFormat="1" applyFont="1" applyFill="1" applyBorder="1" applyAlignment="1" applyProtection="1">
      <alignment horizontal="center" vertical="center" wrapText="1"/>
      <protection locked="0"/>
    </xf>
    <xf numFmtId="14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6" fillId="0" borderId="1" xfId="0" applyNumberFormat="1" applyFont="1" applyBorder="1" applyAlignment="1" applyProtection="1">
      <alignment vertical="center"/>
      <protection locked="0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0" fontId="7" fillId="14" borderId="4" xfId="0" applyFont="1" applyFill="1" applyBorder="1" applyAlignment="1" applyProtection="1">
      <alignment horizontal="center" vertical="center" wrapText="1"/>
      <protection locked="0"/>
    </xf>
    <xf numFmtId="0" fontId="6" fillId="14" borderId="1" xfId="0" applyFont="1" applyFill="1" applyBorder="1" applyAlignment="1" applyProtection="1">
      <alignment horizontal="center" vertical="center"/>
      <protection locked="0"/>
    </xf>
    <xf numFmtId="0" fontId="6" fillId="15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9" fillId="15" borderId="4" xfId="0" applyFont="1" applyFill="1" applyBorder="1" applyAlignment="1" applyProtection="1">
      <alignment horizontal="center" vertical="center"/>
      <protection locked="0"/>
    </xf>
    <xf numFmtId="0" fontId="6" fillId="15" borderId="1" xfId="0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6" fillId="13" borderId="4" xfId="0" applyFont="1" applyFill="1" applyBorder="1" applyAlignment="1" applyProtection="1">
      <alignment horizontal="center" vertical="center" wrapText="1"/>
      <protection locked="0"/>
    </xf>
    <xf numFmtId="0" fontId="6" fillId="13" borderId="4" xfId="0" applyFont="1" applyFill="1" applyBorder="1" applyAlignment="1" applyProtection="1">
      <alignment horizontal="center" vertical="center"/>
      <protection locked="0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 applyProtection="1">
      <alignment horizontal="center" vertical="center" wrapText="1"/>
      <protection locked="0"/>
    </xf>
    <xf numFmtId="0" fontId="6" fillId="13" borderId="16" xfId="0" applyFont="1" applyFill="1" applyBorder="1" applyAlignment="1">
      <alignment horizontal="center" vertical="center"/>
    </xf>
    <xf numFmtId="0" fontId="6" fillId="13" borderId="17" xfId="0" applyFont="1" applyFill="1" applyBorder="1" applyAlignment="1" applyProtection="1">
      <alignment horizontal="center" vertical="center" wrapText="1"/>
      <protection locked="0"/>
    </xf>
    <xf numFmtId="0" fontId="6" fillId="13" borderId="17" xfId="0" applyFont="1" applyFill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center"/>
      <protection locked="0"/>
    </xf>
    <xf numFmtId="14" fontId="6" fillId="0" borderId="21" xfId="0" applyNumberFormat="1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0" fontId="7" fillId="5" borderId="4" xfId="0" applyFont="1" applyFill="1" applyBorder="1" applyAlignment="1" applyProtection="1">
      <alignment vertical="center"/>
      <protection locked="0"/>
    </xf>
    <xf numFmtId="0" fontId="7" fillId="5" borderId="4" xfId="0" applyFont="1" applyFill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vertical="center"/>
      <protection locked="0"/>
    </xf>
    <xf numFmtId="0" fontId="7" fillId="4" borderId="16" xfId="0" applyFont="1" applyFill="1" applyBorder="1" applyAlignment="1" applyProtection="1">
      <alignment horizontal="center" vertical="center" wrapText="1"/>
      <protection locked="0"/>
    </xf>
    <xf numFmtId="0" fontId="7" fillId="4" borderId="17" xfId="0" applyFont="1" applyFill="1" applyBorder="1" applyAlignment="1">
      <alignment horizontal="center" vertical="center" wrapText="1"/>
    </xf>
    <xf numFmtId="0" fontId="6" fillId="13" borderId="16" xfId="0" applyFont="1" applyFill="1" applyBorder="1" applyAlignment="1" applyProtection="1">
      <alignment horizontal="center" vertical="center" wrapText="1"/>
      <protection locked="0"/>
    </xf>
    <xf numFmtId="0" fontId="6" fillId="13" borderId="17" xfId="0" applyFont="1" applyFill="1" applyBorder="1" applyAlignment="1">
      <alignment horizontal="center" vertical="center"/>
    </xf>
    <xf numFmtId="0" fontId="6" fillId="13" borderId="16" xfId="0" applyFont="1" applyFill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8" xfId="0" applyFont="1" applyBorder="1" applyAlignment="1" applyProtection="1">
      <alignment horizontal="center" vertical="center"/>
      <protection locked="0"/>
    </xf>
    <xf numFmtId="0" fontId="6" fillId="0" borderId="21" xfId="0" applyFont="1" applyBorder="1" applyAlignment="1" applyProtection="1">
      <alignment vertical="center"/>
      <protection locked="0"/>
    </xf>
    <xf numFmtId="0" fontId="6" fillId="13" borderId="19" xfId="0" applyFont="1" applyFill="1" applyBorder="1" applyAlignment="1">
      <alignment horizontal="center" vertical="center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6" fillId="4" borderId="14" xfId="0" applyFont="1" applyFill="1" applyBorder="1" applyAlignment="1" applyProtection="1">
      <alignment horizontal="center" vertical="center"/>
      <protection locked="0"/>
    </xf>
    <xf numFmtId="0" fontId="7" fillId="4" borderId="23" xfId="0" applyFont="1" applyFill="1" applyBorder="1" applyAlignment="1" applyProtection="1">
      <alignment horizontal="center" vertical="center"/>
      <protection locked="0"/>
    </xf>
    <xf numFmtId="0" fontId="7" fillId="4" borderId="15" xfId="0" applyFont="1" applyFill="1" applyBorder="1" applyAlignment="1">
      <alignment vertical="center"/>
    </xf>
    <xf numFmtId="0" fontId="7" fillId="5" borderId="2" xfId="0" applyFont="1" applyFill="1" applyBorder="1" applyAlignment="1">
      <alignment vertical="center"/>
    </xf>
    <xf numFmtId="0" fontId="7" fillId="5" borderId="2" xfId="0" applyFont="1" applyFill="1" applyBorder="1" applyAlignment="1">
      <alignment horizontal="center" vertical="center" wrapText="1"/>
    </xf>
    <xf numFmtId="0" fontId="7" fillId="11" borderId="4" xfId="0" applyFont="1" applyFill="1" applyBorder="1" applyAlignment="1" applyProtection="1">
      <alignment vertical="center"/>
      <protection locked="0"/>
    </xf>
    <xf numFmtId="0" fontId="7" fillId="11" borderId="4" xfId="0" applyFont="1" applyFill="1" applyBorder="1" applyAlignment="1" applyProtection="1">
      <alignment horizontal="center" vertical="center" wrapText="1"/>
      <protection locked="0"/>
    </xf>
    <xf numFmtId="0" fontId="6" fillId="13" borderId="4" xfId="0" applyFont="1" applyFill="1" applyBorder="1" applyAlignment="1" applyProtection="1">
      <alignment vertical="center"/>
      <protection locked="0"/>
    </xf>
    <xf numFmtId="0" fontId="7" fillId="8" borderId="14" xfId="0" applyFont="1" applyFill="1" applyBorder="1" applyAlignment="1" applyProtection="1">
      <alignment vertical="center"/>
      <protection locked="0"/>
    </xf>
    <xf numFmtId="0" fontId="7" fillId="8" borderId="23" xfId="0" applyFont="1" applyFill="1" applyBorder="1" applyAlignment="1" applyProtection="1">
      <alignment vertical="center"/>
      <protection locked="0"/>
    </xf>
    <xf numFmtId="0" fontId="7" fillId="8" borderId="15" xfId="0" applyFont="1" applyFill="1" applyBorder="1" applyAlignment="1">
      <alignment vertical="center"/>
    </xf>
    <xf numFmtId="0" fontId="7" fillId="8" borderId="16" xfId="0" applyFont="1" applyFill="1" applyBorder="1" applyAlignment="1" applyProtection="1">
      <alignment horizontal="center" vertical="center" wrapText="1"/>
      <protection locked="0"/>
    </xf>
    <xf numFmtId="0" fontId="7" fillId="8" borderId="17" xfId="0" applyFont="1" applyFill="1" applyBorder="1" applyAlignment="1">
      <alignment horizontal="center" vertical="center" wrapText="1"/>
    </xf>
    <xf numFmtId="0" fontId="6" fillId="13" borderId="17" xfId="0" applyFont="1" applyFill="1" applyBorder="1" applyAlignment="1">
      <alignment vertical="center"/>
    </xf>
    <xf numFmtId="0" fontId="6" fillId="13" borderId="16" xfId="0" applyFont="1" applyFill="1" applyBorder="1" applyAlignment="1" applyProtection="1">
      <alignment vertical="center"/>
      <protection locked="0"/>
    </xf>
    <xf numFmtId="0" fontId="6" fillId="0" borderId="16" xfId="0" applyFont="1" applyBorder="1" applyAlignment="1" applyProtection="1">
      <alignment vertic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7" fillId="2" borderId="20" xfId="0" applyFont="1" applyFill="1" applyBorder="1" applyAlignment="1" applyProtection="1">
      <alignment horizontal="center" vertical="center"/>
      <protection locked="0"/>
    </xf>
    <xf numFmtId="0" fontId="7" fillId="2" borderId="22" xfId="0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10" borderId="2" xfId="0" applyFont="1" applyFill="1" applyBorder="1" applyAlignment="1" applyProtection="1">
      <alignment horizontal="center"/>
      <protection locked="0"/>
    </xf>
    <xf numFmtId="0" fontId="2" fillId="10" borderId="3" xfId="0" applyFont="1" applyFill="1" applyBorder="1" applyAlignment="1" applyProtection="1">
      <alignment horizontal="center"/>
      <protection locked="0"/>
    </xf>
    <xf numFmtId="0" fontId="2" fillId="10" borderId="4" xfId="0" applyFont="1" applyFill="1" applyBorder="1" applyAlignment="1" applyProtection="1">
      <alignment horizontal="center"/>
      <protection locked="0"/>
    </xf>
    <xf numFmtId="0" fontId="2" fillId="9" borderId="5" xfId="0" applyFont="1" applyFill="1" applyBorder="1" applyAlignment="1" applyProtection="1">
      <alignment horizontal="center"/>
      <protection locked="0"/>
    </xf>
    <xf numFmtId="0" fontId="2" fillId="9" borderId="6" xfId="0" applyFont="1" applyFill="1" applyBorder="1" applyAlignment="1" applyProtection="1">
      <alignment horizontal="center"/>
      <protection locked="0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8" xfId="0" applyFont="1" applyBorder="1" applyAlignment="1" applyProtection="1">
      <alignment horizontal="center"/>
      <protection locked="0"/>
    </xf>
    <xf numFmtId="0" fontId="2" fillId="10" borderId="10" xfId="0" applyFont="1" applyFill="1" applyBorder="1" applyAlignment="1" applyProtection="1">
      <alignment horizontal="center"/>
      <protection locked="0"/>
    </xf>
    <xf numFmtId="0" fontId="2" fillId="10" borderId="11" xfId="0" applyFont="1" applyFill="1" applyBorder="1" applyAlignment="1" applyProtection="1">
      <alignment horizontal="center"/>
      <protection locked="0"/>
    </xf>
    <xf numFmtId="0" fontId="2" fillId="1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7" fillId="3" borderId="4" xfId="0" applyFont="1" applyFill="1" applyBorder="1" applyAlignment="1" applyProtection="1">
      <alignment horizontal="center" vertical="center" wrapText="1"/>
      <protection locked="0"/>
    </xf>
    <xf numFmtId="0" fontId="9" fillId="15" borderId="4" xfId="0" applyFont="1" applyFill="1" applyBorder="1" applyAlignment="1">
      <alignment horizontal="center" vertical="center"/>
    </xf>
    <xf numFmtId="0" fontId="9" fillId="14" borderId="4" xfId="0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6" fillId="13" borderId="1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3" xfId="1" xr:uid="{00000000-0005-0000-0000-000001000000}"/>
  </cellStyles>
  <dxfs count="1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FFFF99"/>
      <color rgb="FFCCCCFF"/>
      <color rgb="FFFFCCFF"/>
      <color rgb="FFCCFFCC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AH19"/>
  <sheetViews>
    <sheetView zoomScale="60" zoomScaleNormal="60" workbookViewId="0">
      <selection activeCell="A18" sqref="A18:XFD18"/>
    </sheetView>
  </sheetViews>
  <sheetFormatPr baseColWidth="10" defaultColWidth="11.42578125" defaultRowHeight="24" customHeight="1" x14ac:dyDescent="0.2"/>
  <cols>
    <col min="1" max="1" width="8.85546875" style="36" bestFit="1" customWidth="1"/>
    <col min="2" max="2" width="13.28515625" style="36" bestFit="1" customWidth="1"/>
    <col min="3" max="3" width="14.85546875" style="37" bestFit="1" customWidth="1"/>
    <col min="4" max="4" width="14.85546875" style="134" bestFit="1" customWidth="1"/>
    <col min="5" max="5" width="14.140625" style="133" customWidth="1"/>
    <col min="6" max="6" width="14.7109375" style="135" customWidth="1"/>
    <col min="7" max="7" width="11.42578125" style="37"/>
    <col min="8" max="8" width="10.85546875" style="135" bestFit="1" customWidth="1"/>
    <col min="9" max="9" width="14.28515625" style="135" customWidth="1"/>
    <col min="10" max="10" width="10.85546875" style="133" customWidth="1"/>
    <col min="11" max="11" width="12.5703125" style="135" customWidth="1"/>
    <col min="12" max="12" width="12.42578125" style="135" customWidth="1"/>
    <col min="13" max="13" width="13.42578125" style="133" customWidth="1"/>
    <col min="14" max="14" width="11.5703125" style="135" customWidth="1"/>
    <col min="15" max="15" width="12.42578125" style="135" customWidth="1"/>
    <col min="16" max="16" width="11.7109375" style="133" customWidth="1"/>
    <col min="17" max="17" width="16.5703125" style="135" customWidth="1"/>
    <col min="18" max="18" width="11.42578125" style="135"/>
    <col min="19" max="19" width="16.42578125" style="133" customWidth="1"/>
    <col min="20" max="20" width="11.85546875" style="135" customWidth="1"/>
    <col min="21" max="21" width="11.42578125" style="135"/>
    <col min="22" max="22" width="10.7109375" style="133" customWidth="1"/>
    <col min="23" max="24" width="11.85546875" style="135" customWidth="1"/>
    <col min="25" max="25" width="11.85546875" style="133" customWidth="1"/>
    <col min="26" max="26" width="13.140625" style="135" customWidth="1"/>
    <col min="27" max="27" width="11.140625" style="135" customWidth="1"/>
    <col min="28" max="28" width="12.140625" style="133" customWidth="1"/>
    <col min="29" max="30" width="11.42578125" style="135"/>
    <col min="31" max="31" width="11.42578125" style="133"/>
    <col min="32" max="32" width="16.7109375" style="135" customWidth="1"/>
    <col min="33" max="33" width="11.42578125" style="135"/>
    <col min="34" max="34" width="11.42578125" style="133"/>
    <col min="35" max="16384" width="11.42578125" style="36"/>
  </cols>
  <sheetData>
    <row r="2" spans="1:34" s="37" customFormat="1" ht="24" customHeight="1" x14ac:dyDescent="0.25">
      <c r="A2" s="40"/>
      <c r="B2" s="40"/>
      <c r="C2" s="40" t="s">
        <v>36</v>
      </c>
      <c r="D2" s="112"/>
      <c r="E2" s="111"/>
      <c r="F2" s="34"/>
      <c r="G2" s="40"/>
      <c r="H2" s="88" t="s">
        <v>172</v>
      </c>
      <c r="I2" s="88"/>
      <c r="J2" s="114"/>
      <c r="K2" s="89" t="s">
        <v>40</v>
      </c>
      <c r="L2" s="89"/>
      <c r="M2" s="116"/>
      <c r="N2" s="90" t="s">
        <v>37</v>
      </c>
      <c r="O2" s="90"/>
      <c r="P2" s="118"/>
      <c r="Q2" s="91" t="s">
        <v>8</v>
      </c>
      <c r="R2" s="91"/>
      <c r="S2" s="120"/>
      <c r="T2" s="92" t="s">
        <v>38</v>
      </c>
      <c r="U2" s="92"/>
      <c r="V2" s="122"/>
      <c r="W2" s="93" t="s">
        <v>39</v>
      </c>
      <c r="X2" s="93"/>
      <c r="Y2" s="123"/>
      <c r="Z2" s="94" t="s">
        <v>9</v>
      </c>
      <c r="AA2" s="94"/>
      <c r="AB2" s="125"/>
      <c r="AC2" s="95" t="s">
        <v>21</v>
      </c>
      <c r="AD2" s="95"/>
      <c r="AE2" s="127"/>
      <c r="AF2" s="96" t="s">
        <v>35</v>
      </c>
      <c r="AG2" s="96"/>
      <c r="AH2" s="129"/>
    </row>
    <row r="3" spans="1:34" s="41" customFormat="1" ht="45" x14ac:dyDescent="0.25">
      <c r="A3" s="38" t="s">
        <v>0</v>
      </c>
      <c r="B3" s="39" t="s">
        <v>1</v>
      </c>
      <c r="C3" s="40" t="s">
        <v>2</v>
      </c>
      <c r="D3" s="112" t="s">
        <v>3</v>
      </c>
      <c r="E3" s="113" t="s">
        <v>6</v>
      </c>
      <c r="F3" s="35" t="s">
        <v>5</v>
      </c>
      <c r="G3" s="35" t="s">
        <v>4</v>
      </c>
      <c r="H3" s="97" t="s">
        <v>4</v>
      </c>
      <c r="I3" s="98" t="s">
        <v>7</v>
      </c>
      <c r="J3" s="115" t="s">
        <v>6</v>
      </c>
      <c r="K3" s="38" t="s">
        <v>12</v>
      </c>
      <c r="L3" s="39" t="s">
        <v>7</v>
      </c>
      <c r="M3" s="117" t="s">
        <v>13</v>
      </c>
      <c r="N3" s="99" t="s">
        <v>4</v>
      </c>
      <c r="O3" s="100" t="s">
        <v>7</v>
      </c>
      <c r="P3" s="119" t="s">
        <v>6</v>
      </c>
      <c r="Q3" s="101" t="s">
        <v>14</v>
      </c>
      <c r="R3" s="101" t="s">
        <v>7</v>
      </c>
      <c r="S3" s="121" t="s">
        <v>15</v>
      </c>
      <c r="T3" s="102" t="s">
        <v>16</v>
      </c>
      <c r="U3" s="102" t="s">
        <v>7</v>
      </c>
      <c r="V3" s="2" t="s">
        <v>17</v>
      </c>
      <c r="W3" s="103" t="s">
        <v>4</v>
      </c>
      <c r="X3" s="104" t="s">
        <v>7</v>
      </c>
      <c r="Y3" s="124" t="s">
        <v>6</v>
      </c>
      <c r="Z3" s="105" t="s">
        <v>10</v>
      </c>
      <c r="AA3" s="106" t="s">
        <v>7</v>
      </c>
      <c r="AB3" s="126" t="s">
        <v>11</v>
      </c>
      <c r="AC3" s="107" t="s">
        <v>19</v>
      </c>
      <c r="AD3" s="108" t="s">
        <v>7</v>
      </c>
      <c r="AE3" s="128" t="s">
        <v>20</v>
      </c>
      <c r="AF3" s="109" t="s">
        <v>19</v>
      </c>
      <c r="AG3" s="110" t="s">
        <v>7</v>
      </c>
      <c r="AH3" s="130" t="s">
        <v>20</v>
      </c>
    </row>
    <row r="4" spans="1:34" ht="24" customHeight="1" x14ac:dyDescent="0.2">
      <c r="A4" s="136">
        <v>341</v>
      </c>
      <c r="B4" s="137" t="s">
        <v>173</v>
      </c>
      <c r="C4" s="43">
        <v>715</v>
      </c>
      <c r="D4" s="138">
        <f t="shared" ref="D4:D19" si="0">C4-G4</f>
        <v>715</v>
      </c>
      <c r="E4" s="138">
        <f t="shared" ref="E4:E19" si="1">G4+1500</f>
        <v>1500</v>
      </c>
      <c r="F4" s="144"/>
      <c r="G4" s="43"/>
      <c r="H4" s="144"/>
      <c r="I4" s="144"/>
      <c r="J4" s="7"/>
      <c r="K4" s="144"/>
      <c r="L4" s="144"/>
      <c r="M4" s="7"/>
      <c r="N4" s="144"/>
      <c r="O4" s="144"/>
      <c r="P4" s="7"/>
      <c r="Q4" s="144"/>
      <c r="R4" s="144"/>
      <c r="S4" s="7"/>
      <c r="T4" s="144"/>
      <c r="U4" s="144"/>
      <c r="V4" s="7"/>
      <c r="W4" s="144"/>
      <c r="X4" s="144"/>
      <c r="Y4" s="7"/>
      <c r="Z4" s="144"/>
      <c r="AA4" s="144"/>
      <c r="AB4" s="7"/>
      <c r="AC4" s="144"/>
      <c r="AD4" s="144"/>
      <c r="AE4" s="7"/>
      <c r="AF4" s="144"/>
      <c r="AG4" s="144"/>
      <c r="AH4" s="7"/>
    </row>
    <row r="5" spans="1:34" ht="24" customHeight="1" x14ac:dyDescent="0.2">
      <c r="A5" s="142">
        <v>342</v>
      </c>
      <c r="B5" s="138" t="s">
        <v>174</v>
      </c>
      <c r="C5" s="43">
        <v>762</v>
      </c>
      <c r="D5" s="138">
        <f t="shared" si="0"/>
        <v>762</v>
      </c>
      <c r="E5" s="138">
        <f t="shared" si="1"/>
        <v>1500</v>
      </c>
      <c r="F5" s="144"/>
      <c r="G5" s="43"/>
      <c r="H5" s="144"/>
      <c r="I5" s="144"/>
      <c r="J5" s="7"/>
      <c r="K5" s="144"/>
      <c r="L5" s="144"/>
      <c r="M5" s="7"/>
      <c r="N5" s="144"/>
      <c r="O5" s="144"/>
      <c r="P5" s="7"/>
      <c r="Q5" s="144"/>
      <c r="R5" s="144"/>
      <c r="S5" s="7"/>
      <c r="T5" s="144"/>
      <c r="U5" s="144"/>
      <c r="V5" s="7"/>
      <c r="W5" s="144"/>
      <c r="X5" s="144"/>
      <c r="Y5" s="7"/>
      <c r="Z5" s="144"/>
      <c r="AA5" s="144"/>
      <c r="AB5" s="7"/>
      <c r="AC5" s="144"/>
      <c r="AD5" s="144"/>
      <c r="AE5" s="7"/>
      <c r="AF5" s="144"/>
      <c r="AG5" s="144"/>
      <c r="AH5" s="7"/>
    </row>
    <row r="6" spans="1:34" ht="24" customHeight="1" x14ac:dyDescent="0.2">
      <c r="A6" s="142">
        <v>343</v>
      </c>
      <c r="B6" s="138" t="s">
        <v>175</v>
      </c>
      <c r="C6" s="43">
        <v>739</v>
      </c>
      <c r="D6" s="138">
        <f t="shared" si="0"/>
        <v>739</v>
      </c>
      <c r="E6" s="138">
        <f t="shared" si="1"/>
        <v>1500</v>
      </c>
      <c r="F6" s="144"/>
      <c r="G6" s="43"/>
      <c r="H6" s="144"/>
      <c r="I6" s="144"/>
      <c r="J6" s="7"/>
      <c r="K6" s="144"/>
      <c r="L6" s="144"/>
      <c r="M6" s="7"/>
      <c r="N6" s="144"/>
      <c r="O6" s="144"/>
      <c r="P6" s="7"/>
      <c r="Q6" s="144"/>
      <c r="R6" s="144"/>
      <c r="S6" s="7"/>
      <c r="T6" s="144"/>
      <c r="U6" s="144"/>
      <c r="V6" s="7"/>
      <c r="W6" s="144"/>
      <c r="X6" s="144"/>
      <c r="Y6" s="7"/>
      <c r="Z6" s="144"/>
      <c r="AA6" s="144"/>
      <c r="AB6" s="7"/>
      <c r="AC6" s="144"/>
      <c r="AD6" s="144"/>
      <c r="AE6" s="7"/>
      <c r="AF6" s="144"/>
      <c r="AG6" s="144"/>
      <c r="AH6" s="7"/>
    </row>
    <row r="7" spans="1:34" ht="24" customHeight="1" x14ac:dyDescent="0.2">
      <c r="A7" s="142">
        <v>345</v>
      </c>
      <c r="B7" s="138" t="s">
        <v>177</v>
      </c>
      <c r="C7" s="43">
        <v>786</v>
      </c>
      <c r="D7" s="138">
        <f t="shared" si="0"/>
        <v>786</v>
      </c>
      <c r="E7" s="138">
        <f t="shared" si="1"/>
        <v>1500</v>
      </c>
      <c r="F7" s="144"/>
      <c r="G7" s="43"/>
      <c r="H7" s="144"/>
      <c r="I7" s="144"/>
      <c r="J7" s="7"/>
      <c r="K7" s="144"/>
      <c r="L7" s="144"/>
      <c r="M7" s="7"/>
      <c r="N7" s="144"/>
      <c r="O7" s="144"/>
      <c r="P7" s="7"/>
      <c r="Q7" s="144"/>
      <c r="R7" s="144"/>
      <c r="S7" s="7"/>
      <c r="T7" s="144"/>
      <c r="U7" s="144"/>
      <c r="V7" s="7"/>
      <c r="W7" s="144"/>
      <c r="X7" s="144"/>
      <c r="Y7" s="7"/>
      <c r="Z7" s="144"/>
      <c r="AA7" s="144"/>
      <c r="AB7" s="7"/>
      <c r="AC7" s="144"/>
      <c r="AD7" s="144"/>
      <c r="AE7" s="7"/>
      <c r="AF7" s="144"/>
      <c r="AG7" s="144"/>
      <c r="AH7" s="7"/>
    </row>
    <row r="8" spans="1:34" ht="24" customHeight="1" x14ac:dyDescent="0.2">
      <c r="A8" s="142">
        <v>346</v>
      </c>
      <c r="B8" s="138" t="s">
        <v>178</v>
      </c>
      <c r="C8" s="43">
        <v>1654</v>
      </c>
      <c r="D8" s="138">
        <f t="shared" si="0"/>
        <v>0</v>
      </c>
      <c r="E8" s="138">
        <f t="shared" si="1"/>
        <v>3154</v>
      </c>
      <c r="F8" s="147">
        <v>45905</v>
      </c>
      <c r="G8" s="43">
        <v>1654</v>
      </c>
      <c r="H8" s="144"/>
      <c r="I8" s="144"/>
      <c r="J8" s="7"/>
      <c r="K8" s="144"/>
      <c r="L8" s="144"/>
      <c r="M8" s="7"/>
      <c r="N8" s="144"/>
      <c r="O8" s="144"/>
      <c r="P8" s="7"/>
      <c r="Q8" s="144"/>
      <c r="R8" s="144"/>
      <c r="S8" s="7"/>
      <c r="T8" s="144"/>
      <c r="U8" s="144"/>
      <c r="V8" s="7"/>
      <c r="W8" s="144"/>
      <c r="X8" s="144"/>
      <c r="Y8" s="7"/>
      <c r="Z8" s="144"/>
      <c r="AA8" s="144"/>
      <c r="AB8" s="7"/>
      <c r="AC8" s="144"/>
      <c r="AD8" s="144"/>
      <c r="AE8" s="7"/>
      <c r="AF8" s="144"/>
      <c r="AG8" s="144"/>
      <c r="AH8" s="7"/>
    </row>
    <row r="9" spans="1:34" ht="24" customHeight="1" x14ac:dyDescent="0.2">
      <c r="A9" s="142">
        <v>347</v>
      </c>
      <c r="B9" s="138" t="s">
        <v>179</v>
      </c>
      <c r="C9" s="43">
        <v>635</v>
      </c>
      <c r="D9" s="138">
        <f t="shared" si="0"/>
        <v>-863</v>
      </c>
      <c r="E9" s="138">
        <f t="shared" si="1"/>
        <v>2998</v>
      </c>
      <c r="F9" s="147">
        <v>45912</v>
      </c>
      <c r="G9" s="43">
        <v>1498</v>
      </c>
      <c r="H9" s="144"/>
      <c r="I9" s="144"/>
      <c r="J9" s="7"/>
      <c r="K9" s="144"/>
      <c r="L9" s="144"/>
      <c r="M9" s="7"/>
      <c r="N9" s="144"/>
      <c r="O9" s="144"/>
      <c r="P9" s="7"/>
      <c r="Q9" s="144"/>
      <c r="R9" s="144"/>
      <c r="S9" s="7"/>
      <c r="T9" s="144"/>
      <c r="U9" s="144"/>
      <c r="V9" s="7"/>
      <c r="W9" s="144"/>
      <c r="X9" s="144"/>
      <c r="Y9" s="7"/>
      <c r="Z9" s="144"/>
      <c r="AA9" s="144"/>
      <c r="AB9" s="7"/>
      <c r="AC9" s="144"/>
      <c r="AD9" s="144"/>
      <c r="AE9" s="7"/>
      <c r="AF9" s="144"/>
      <c r="AG9" s="144"/>
      <c r="AH9" s="7"/>
    </row>
    <row r="10" spans="1:34" ht="24" customHeight="1" x14ac:dyDescent="0.2">
      <c r="A10" s="142">
        <v>348</v>
      </c>
      <c r="B10" s="138" t="s">
        <v>180</v>
      </c>
      <c r="C10" s="43">
        <v>2083</v>
      </c>
      <c r="D10" s="138">
        <f t="shared" si="0"/>
        <v>2083</v>
      </c>
      <c r="E10" s="138">
        <f t="shared" si="1"/>
        <v>1500</v>
      </c>
      <c r="F10" s="144"/>
      <c r="G10" s="43"/>
      <c r="H10" s="144"/>
      <c r="I10" s="144"/>
      <c r="J10" s="7"/>
      <c r="K10" s="144"/>
      <c r="L10" s="144"/>
      <c r="M10" s="7"/>
      <c r="N10" s="144"/>
      <c r="O10" s="144"/>
      <c r="P10" s="7"/>
      <c r="Q10" s="144"/>
      <c r="R10" s="144"/>
      <c r="S10" s="7"/>
      <c r="T10" s="144"/>
      <c r="U10" s="144"/>
      <c r="V10" s="7"/>
      <c r="W10" s="144"/>
      <c r="X10" s="144"/>
      <c r="Y10" s="7"/>
      <c r="Z10" s="144"/>
      <c r="AA10" s="144"/>
      <c r="AB10" s="7"/>
      <c r="AC10" s="144"/>
      <c r="AD10" s="144"/>
      <c r="AE10" s="7"/>
      <c r="AF10" s="144"/>
      <c r="AG10" s="144"/>
      <c r="AH10" s="7"/>
    </row>
    <row r="11" spans="1:34" ht="24" customHeight="1" x14ac:dyDescent="0.2">
      <c r="A11" s="142">
        <v>349</v>
      </c>
      <c r="B11" s="138" t="s">
        <v>181</v>
      </c>
      <c r="C11" s="43">
        <v>822</v>
      </c>
      <c r="D11" s="138">
        <f t="shared" si="0"/>
        <v>822</v>
      </c>
      <c r="E11" s="138">
        <f t="shared" si="1"/>
        <v>1500</v>
      </c>
      <c r="F11" s="144"/>
      <c r="G11" s="43"/>
      <c r="H11" s="144"/>
      <c r="I11" s="144"/>
      <c r="J11" s="7"/>
      <c r="K11" s="144"/>
      <c r="L11" s="144"/>
      <c r="M11" s="7"/>
      <c r="N11" s="144"/>
      <c r="O11" s="144"/>
      <c r="P11" s="7"/>
      <c r="Q11" s="144"/>
      <c r="R11" s="144"/>
      <c r="S11" s="7"/>
      <c r="T11" s="144"/>
      <c r="U11" s="144"/>
      <c r="V11" s="7"/>
      <c r="W11" s="144"/>
      <c r="X11" s="144"/>
      <c r="Y11" s="7"/>
      <c r="Z11" s="144"/>
      <c r="AA11" s="144"/>
      <c r="AB11" s="7"/>
      <c r="AC11" s="144"/>
      <c r="AD11" s="144"/>
      <c r="AE11" s="7"/>
      <c r="AF11" s="144"/>
      <c r="AG11" s="144"/>
      <c r="AH11" s="7"/>
    </row>
    <row r="12" spans="1:34" ht="24" customHeight="1" x14ac:dyDescent="0.2">
      <c r="A12" s="142">
        <v>350</v>
      </c>
      <c r="B12" s="138" t="s">
        <v>182</v>
      </c>
      <c r="C12" s="43">
        <v>731</v>
      </c>
      <c r="D12" s="138">
        <f t="shared" si="0"/>
        <v>731</v>
      </c>
      <c r="E12" s="138">
        <f t="shared" si="1"/>
        <v>1500</v>
      </c>
      <c r="F12" s="144"/>
      <c r="G12" s="43"/>
      <c r="H12" s="144"/>
      <c r="I12" s="144"/>
      <c r="J12" s="7"/>
      <c r="K12" s="144"/>
      <c r="L12" s="144"/>
      <c r="M12" s="7"/>
      <c r="N12" s="144"/>
      <c r="O12" s="144"/>
      <c r="P12" s="7"/>
      <c r="Q12" s="144"/>
      <c r="R12" s="144"/>
      <c r="S12" s="7"/>
      <c r="T12" s="144"/>
      <c r="U12" s="144"/>
      <c r="V12" s="7"/>
      <c r="W12" s="144"/>
      <c r="X12" s="144"/>
      <c r="Y12" s="7"/>
      <c r="Z12" s="144"/>
      <c r="AA12" s="144"/>
      <c r="AB12" s="7"/>
      <c r="AC12" s="144"/>
      <c r="AD12" s="144"/>
      <c r="AE12" s="7"/>
      <c r="AF12" s="144"/>
      <c r="AG12" s="144"/>
      <c r="AH12" s="7"/>
    </row>
    <row r="13" spans="1:34" ht="24" customHeight="1" x14ac:dyDescent="0.2">
      <c r="A13" s="142">
        <v>351</v>
      </c>
      <c r="B13" s="138" t="s">
        <v>183</v>
      </c>
      <c r="C13" s="43">
        <v>735</v>
      </c>
      <c r="D13" s="138">
        <f t="shared" si="0"/>
        <v>735</v>
      </c>
      <c r="E13" s="138">
        <f t="shared" si="1"/>
        <v>1500</v>
      </c>
      <c r="F13" s="144"/>
      <c r="G13" s="43"/>
      <c r="H13" s="144"/>
      <c r="I13" s="144"/>
      <c r="J13" s="7"/>
      <c r="K13" s="144"/>
      <c r="L13" s="144"/>
      <c r="M13" s="7"/>
      <c r="N13" s="144"/>
      <c r="O13" s="144"/>
      <c r="P13" s="7"/>
      <c r="Q13" s="144"/>
      <c r="R13" s="144"/>
      <c r="S13" s="7"/>
      <c r="T13" s="144"/>
      <c r="U13" s="144"/>
      <c r="V13" s="7"/>
      <c r="W13" s="144"/>
      <c r="X13" s="144"/>
      <c r="Y13" s="7"/>
      <c r="Z13" s="144"/>
      <c r="AA13" s="144"/>
      <c r="AB13" s="7"/>
      <c r="AC13" s="144"/>
      <c r="AD13" s="144"/>
      <c r="AE13" s="7"/>
      <c r="AF13" s="144"/>
      <c r="AG13" s="144"/>
      <c r="AH13" s="7"/>
    </row>
    <row r="14" spans="1:34" ht="24" customHeight="1" x14ac:dyDescent="0.2">
      <c r="A14" s="142">
        <v>352</v>
      </c>
      <c r="B14" s="138" t="s">
        <v>184</v>
      </c>
      <c r="C14" s="43">
        <v>740</v>
      </c>
      <c r="D14" s="138">
        <f t="shared" si="0"/>
        <v>740</v>
      </c>
      <c r="E14" s="138">
        <f t="shared" si="1"/>
        <v>1500</v>
      </c>
      <c r="F14" s="144"/>
      <c r="G14" s="43"/>
      <c r="H14" s="144"/>
      <c r="I14" s="144"/>
      <c r="J14" s="7"/>
      <c r="K14" s="144"/>
      <c r="L14" s="144"/>
      <c r="M14" s="7"/>
      <c r="N14" s="144"/>
      <c r="O14" s="144"/>
      <c r="P14" s="7"/>
      <c r="Q14" s="144"/>
      <c r="R14" s="144"/>
      <c r="S14" s="7"/>
      <c r="T14" s="144"/>
      <c r="U14" s="144"/>
      <c r="V14" s="7"/>
      <c r="W14" s="144"/>
      <c r="X14" s="144"/>
      <c r="Y14" s="7"/>
      <c r="Z14" s="144"/>
      <c r="AA14" s="144"/>
      <c r="AB14" s="7"/>
      <c r="AC14" s="144"/>
      <c r="AD14" s="144"/>
      <c r="AE14" s="7"/>
      <c r="AF14" s="144"/>
      <c r="AG14" s="144"/>
      <c r="AH14" s="7"/>
    </row>
    <row r="15" spans="1:34" ht="24" customHeight="1" x14ac:dyDescent="0.2">
      <c r="A15" s="142">
        <v>353</v>
      </c>
      <c r="B15" s="138" t="s">
        <v>185</v>
      </c>
      <c r="C15" s="43">
        <v>717</v>
      </c>
      <c r="D15" s="138">
        <f t="shared" si="0"/>
        <v>717</v>
      </c>
      <c r="E15" s="138">
        <f t="shared" si="1"/>
        <v>1500</v>
      </c>
      <c r="F15" s="144"/>
      <c r="G15" s="43"/>
      <c r="H15" s="144"/>
      <c r="I15" s="144"/>
      <c r="J15" s="7"/>
      <c r="K15" s="144"/>
      <c r="L15" s="144"/>
      <c r="M15" s="7"/>
      <c r="N15" s="144"/>
      <c r="O15" s="144"/>
      <c r="P15" s="7"/>
      <c r="Q15" s="144"/>
      <c r="R15" s="144"/>
      <c r="S15" s="7"/>
      <c r="T15" s="144"/>
      <c r="U15" s="144"/>
      <c r="V15" s="7"/>
      <c r="W15" s="144"/>
      <c r="X15" s="144"/>
      <c r="Y15" s="7"/>
      <c r="Z15" s="144"/>
      <c r="AA15" s="144"/>
      <c r="AB15" s="7"/>
      <c r="AC15" s="144"/>
      <c r="AD15" s="144"/>
      <c r="AE15" s="7"/>
      <c r="AF15" s="144"/>
      <c r="AG15" s="144"/>
      <c r="AH15" s="7"/>
    </row>
    <row r="16" spans="1:34" ht="24" customHeight="1" x14ac:dyDescent="0.2">
      <c r="A16" s="142">
        <v>354</v>
      </c>
      <c r="B16" s="138" t="s">
        <v>186</v>
      </c>
      <c r="C16" s="43">
        <v>767</v>
      </c>
      <c r="D16" s="138">
        <f t="shared" si="0"/>
        <v>767</v>
      </c>
      <c r="E16" s="138">
        <f t="shared" si="1"/>
        <v>1500</v>
      </c>
      <c r="F16" s="144"/>
      <c r="G16" s="43"/>
      <c r="H16" s="144"/>
      <c r="I16" s="144"/>
      <c r="J16" s="7"/>
      <c r="K16" s="144"/>
      <c r="L16" s="144"/>
      <c r="M16" s="7"/>
      <c r="N16" s="144"/>
      <c r="O16" s="144"/>
      <c r="P16" s="7"/>
      <c r="Q16" s="144"/>
      <c r="R16" s="144"/>
      <c r="S16" s="7"/>
      <c r="T16" s="144"/>
      <c r="U16" s="144"/>
      <c r="V16" s="7"/>
      <c r="W16" s="144"/>
      <c r="X16" s="144"/>
      <c r="Y16" s="7"/>
      <c r="Z16" s="144"/>
      <c r="AA16" s="144"/>
      <c r="AB16" s="7"/>
      <c r="AC16" s="144"/>
      <c r="AD16" s="144"/>
      <c r="AE16" s="7"/>
      <c r="AF16" s="144"/>
      <c r="AG16" s="144"/>
      <c r="AH16" s="7"/>
    </row>
    <row r="17" spans="1:34" ht="24" customHeight="1" x14ac:dyDescent="0.2">
      <c r="A17" s="142">
        <v>355</v>
      </c>
      <c r="B17" s="138" t="s">
        <v>187</v>
      </c>
      <c r="C17" s="43">
        <v>763</v>
      </c>
      <c r="D17" s="138">
        <f t="shared" si="0"/>
        <v>763</v>
      </c>
      <c r="E17" s="138">
        <f t="shared" si="1"/>
        <v>1500</v>
      </c>
      <c r="F17" s="144"/>
      <c r="G17" s="43"/>
      <c r="H17" s="144"/>
      <c r="I17" s="144"/>
      <c r="J17" s="7"/>
      <c r="K17" s="144"/>
      <c r="L17" s="144"/>
      <c r="M17" s="7"/>
      <c r="N17" s="144"/>
      <c r="O17" s="144"/>
      <c r="P17" s="7"/>
      <c r="Q17" s="144"/>
      <c r="R17" s="144"/>
      <c r="S17" s="7"/>
      <c r="T17" s="144"/>
      <c r="U17" s="144"/>
      <c r="V17" s="7"/>
      <c r="W17" s="144"/>
      <c r="X17" s="144"/>
      <c r="Y17" s="7"/>
      <c r="Z17" s="144"/>
      <c r="AA17" s="144"/>
      <c r="AB17" s="7"/>
      <c r="AC17" s="144"/>
      <c r="AD17" s="144"/>
      <c r="AE17" s="7"/>
      <c r="AF17" s="144"/>
      <c r="AG17" s="144"/>
      <c r="AH17" s="7"/>
    </row>
    <row r="18" spans="1:34" ht="24" customHeight="1" x14ac:dyDescent="0.2">
      <c r="A18" s="142">
        <v>356</v>
      </c>
      <c r="B18" s="138" t="s">
        <v>188</v>
      </c>
      <c r="C18" s="43">
        <v>714</v>
      </c>
      <c r="D18" s="138">
        <f t="shared" si="0"/>
        <v>714</v>
      </c>
      <c r="E18" s="138">
        <f t="shared" si="1"/>
        <v>1500</v>
      </c>
      <c r="F18" s="144"/>
      <c r="G18" s="43"/>
      <c r="H18" s="144"/>
      <c r="I18" s="144"/>
      <c r="J18" s="7"/>
      <c r="K18" s="144"/>
      <c r="L18" s="144"/>
      <c r="M18" s="7"/>
      <c r="N18" s="144"/>
      <c r="O18" s="144"/>
      <c r="P18" s="7"/>
      <c r="Q18" s="144"/>
      <c r="R18" s="144"/>
      <c r="S18" s="7"/>
      <c r="T18" s="144"/>
      <c r="U18" s="144"/>
      <c r="V18" s="7"/>
      <c r="W18" s="144"/>
      <c r="X18" s="144"/>
      <c r="Y18" s="7"/>
      <c r="Z18" s="144"/>
      <c r="AA18" s="144"/>
      <c r="AB18" s="7"/>
      <c r="AC18" s="144"/>
      <c r="AD18" s="144"/>
      <c r="AE18" s="7"/>
      <c r="AF18" s="144"/>
      <c r="AG18" s="144"/>
      <c r="AH18" s="7"/>
    </row>
    <row r="19" spans="1:34" ht="24" customHeight="1" x14ac:dyDescent="0.2">
      <c r="A19" s="142">
        <v>357</v>
      </c>
      <c r="B19" s="138" t="s">
        <v>189</v>
      </c>
      <c r="C19" s="43">
        <v>695</v>
      </c>
      <c r="D19" s="138">
        <f t="shared" si="0"/>
        <v>695</v>
      </c>
      <c r="E19" s="138">
        <f t="shared" si="1"/>
        <v>1500</v>
      </c>
      <c r="F19" s="144"/>
      <c r="G19" s="43"/>
      <c r="H19" s="144"/>
      <c r="I19" s="144"/>
      <c r="J19" s="7"/>
      <c r="K19" s="144"/>
      <c r="L19" s="144"/>
      <c r="M19" s="7"/>
      <c r="N19" s="144"/>
      <c r="O19" s="144"/>
      <c r="P19" s="7"/>
      <c r="Q19" s="144"/>
      <c r="R19" s="144"/>
      <c r="S19" s="7"/>
      <c r="T19" s="144"/>
      <c r="U19" s="144"/>
      <c r="V19" s="7"/>
      <c r="W19" s="144"/>
      <c r="X19" s="144"/>
      <c r="Y19" s="7"/>
      <c r="Z19" s="144"/>
      <c r="AA19" s="144"/>
      <c r="AB19" s="7"/>
      <c r="AC19" s="144"/>
      <c r="AD19" s="144"/>
      <c r="AE19" s="7"/>
      <c r="AF19" s="144"/>
      <c r="AG19" s="144"/>
      <c r="AH19" s="7"/>
    </row>
  </sheetData>
  <conditionalFormatting sqref="D4:D19">
    <cfRule type="cellIs" dxfId="10" priority="10" operator="greaterThan">
      <formula>1400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U29"/>
  <sheetViews>
    <sheetView tabSelected="1" zoomScale="80" zoomScaleNormal="80" workbookViewId="0">
      <selection activeCell="Y23" sqref="Y23"/>
    </sheetView>
  </sheetViews>
  <sheetFormatPr baseColWidth="10" defaultColWidth="11.42578125" defaultRowHeight="24" customHeight="1" x14ac:dyDescent="0.2"/>
  <cols>
    <col min="1" max="2" width="11.42578125" style="37"/>
    <col min="3" max="3" width="8.85546875" style="36" bestFit="1" customWidth="1"/>
    <col min="4" max="4" width="13.28515625" style="36" bestFit="1" customWidth="1"/>
    <col min="5" max="5" width="20.7109375" style="37" customWidth="1"/>
    <col min="6" max="6" width="17.7109375" style="134" bestFit="1" customWidth="1"/>
    <col min="7" max="7" width="14.140625" style="133" customWidth="1"/>
    <col min="8" max="8" width="14.7109375" style="135" customWidth="1"/>
    <col min="9" max="9" width="11.42578125" style="37"/>
    <col min="10" max="10" width="10.85546875" style="37" bestFit="1" customWidth="1"/>
    <col min="11" max="11" width="11" style="135" bestFit="1" customWidth="1"/>
    <col min="12" max="12" width="10.85546875" style="133" customWidth="1"/>
    <col min="13" max="13" width="11.5703125" style="135" customWidth="1"/>
    <col min="14" max="14" width="12.42578125" style="135" customWidth="1"/>
    <col min="15" max="15" width="11.7109375" style="133" customWidth="1"/>
    <col min="16" max="16" width="13.140625" style="135" customWidth="1"/>
    <col min="17" max="17" width="11.140625" style="135" customWidth="1"/>
    <col min="18" max="18" width="13.42578125" style="133" customWidth="1"/>
    <col min="19" max="20" width="11.42578125" style="135"/>
    <col min="21" max="21" width="11.42578125" style="133"/>
    <col min="22" max="16384" width="11.42578125" style="36"/>
  </cols>
  <sheetData>
    <row r="1" spans="1:21" ht="24" customHeight="1" thickBot="1" x14ac:dyDescent="0.25"/>
    <row r="2" spans="1:21" s="37" customFormat="1" ht="24" customHeight="1" x14ac:dyDescent="0.25">
      <c r="C2" s="40"/>
      <c r="D2" s="40"/>
      <c r="F2" s="155"/>
      <c r="G2" s="197" t="s">
        <v>36</v>
      </c>
      <c r="H2" s="198"/>
      <c r="I2" s="179"/>
      <c r="J2" s="180"/>
      <c r="K2" s="181" t="s">
        <v>172</v>
      </c>
      <c r="L2" s="182"/>
      <c r="M2" s="167" t="s">
        <v>37</v>
      </c>
      <c r="N2" s="90"/>
      <c r="O2" s="183"/>
      <c r="P2" s="188" t="s">
        <v>9</v>
      </c>
      <c r="Q2" s="189"/>
      <c r="R2" s="190"/>
      <c r="S2" s="185" t="s">
        <v>21</v>
      </c>
      <c r="T2" s="95"/>
      <c r="U2" s="127"/>
    </row>
    <row r="3" spans="1:21" s="41" customFormat="1" ht="45" x14ac:dyDescent="0.25">
      <c r="A3" s="219" t="s">
        <v>197</v>
      </c>
      <c r="B3" s="219" t="s">
        <v>198</v>
      </c>
      <c r="C3" s="216" t="s">
        <v>0</v>
      </c>
      <c r="D3" s="39" t="s">
        <v>1</v>
      </c>
      <c r="E3" s="40" t="s">
        <v>2</v>
      </c>
      <c r="F3" s="155" t="s">
        <v>3</v>
      </c>
      <c r="G3" s="159" t="s">
        <v>6</v>
      </c>
      <c r="H3" s="35" t="s">
        <v>5</v>
      </c>
      <c r="I3" s="160" t="s">
        <v>4</v>
      </c>
      <c r="J3" s="170" t="s">
        <v>4</v>
      </c>
      <c r="K3" s="98" t="s">
        <v>7</v>
      </c>
      <c r="L3" s="171" t="s">
        <v>6</v>
      </c>
      <c r="M3" s="168" t="s">
        <v>4</v>
      </c>
      <c r="N3" s="100" t="s">
        <v>7</v>
      </c>
      <c r="O3" s="184" t="s">
        <v>6</v>
      </c>
      <c r="P3" s="191" t="s">
        <v>10</v>
      </c>
      <c r="Q3" s="106" t="s">
        <v>7</v>
      </c>
      <c r="R3" s="192" t="s">
        <v>11</v>
      </c>
      <c r="S3" s="186" t="s">
        <v>19</v>
      </c>
      <c r="T3" s="108" t="s">
        <v>7</v>
      </c>
      <c r="U3" s="128" t="s">
        <v>20</v>
      </c>
    </row>
    <row r="4" spans="1:21" s="143" customFormat="1" ht="22.5" customHeight="1" x14ac:dyDescent="0.25">
      <c r="A4" s="220" t="s">
        <v>207</v>
      </c>
      <c r="B4" s="220" t="s">
        <v>199</v>
      </c>
      <c r="C4" s="149">
        <v>316</v>
      </c>
      <c r="D4" s="150" t="s">
        <v>190</v>
      </c>
      <c r="E4" s="48">
        <v>61232</v>
      </c>
      <c r="F4" s="156">
        <f>E4-I4</f>
        <v>4612</v>
      </c>
      <c r="G4" s="161">
        <f>I4+1000</f>
        <v>57620</v>
      </c>
      <c r="H4" s="145">
        <v>46100</v>
      </c>
      <c r="I4" s="162">
        <v>56620</v>
      </c>
      <c r="J4" s="172">
        <v>8900</v>
      </c>
      <c r="K4" s="146">
        <v>45785</v>
      </c>
      <c r="L4" s="173">
        <f>J4+5000</f>
        <v>13900</v>
      </c>
      <c r="M4" s="157">
        <v>8900</v>
      </c>
      <c r="N4" s="146">
        <v>45785</v>
      </c>
      <c r="O4" s="156">
        <f>M4+10000</f>
        <v>18900</v>
      </c>
      <c r="P4" s="172"/>
      <c r="Q4" s="48"/>
      <c r="R4" s="193">
        <f>P4+10000</f>
        <v>10000</v>
      </c>
      <c r="S4" s="157"/>
      <c r="T4" s="48"/>
      <c r="U4" s="140">
        <f>S4+20000</f>
        <v>20000</v>
      </c>
    </row>
    <row r="5" spans="1:21" s="141" customFormat="1" ht="18.75" customHeight="1" x14ac:dyDescent="0.2">
      <c r="A5" s="48" t="s">
        <v>207</v>
      </c>
      <c r="B5" s="48" t="s">
        <v>200</v>
      </c>
      <c r="C5" s="49">
        <v>317</v>
      </c>
      <c r="D5" s="48" t="s">
        <v>167</v>
      </c>
      <c r="E5" s="48">
        <v>19694</v>
      </c>
      <c r="F5" s="156">
        <f t="shared" ref="F5:F23" si="0">E5-I5</f>
        <v>4194</v>
      </c>
      <c r="G5" s="161">
        <f t="shared" ref="G5:G29" si="1">I5+1000</f>
        <v>16500</v>
      </c>
      <c r="H5" s="146">
        <v>45866</v>
      </c>
      <c r="I5" s="163">
        <v>15500</v>
      </c>
      <c r="J5" s="174">
        <v>15500</v>
      </c>
      <c r="K5" s="146">
        <v>45866</v>
      </c>
      <c r="L5" s="173">
        <f t="shared" ref="L5:L23" si="2">J5+5000</f>
        <v>20500</v>
      </c>
      <c r="M5" s="158">
        <v>15500</v>
      </c>
      <c r="N5" s="146">
        <v>45866</v>
      </c>
      <c r="O5" s="156">
        <f t="shared" ref="O5:O23" si="3">M5+10000</f>
        <v>25500</v>
      </c>
      <c r="P5" s="194"/>
      <c r="Q5" s="139"/>
      <c r="R5" s="193">
        <f t="shared" ref="R5:R29" si="4">P5+10000</f>
        <v>10000</v>
      </c>
      <c r="S5" s="187"/>
      <c r="T5" s="139"/>
      <c r="U5" s="140">
        <f t="shared" ref="U5:U23" si="5">S5+20000</f>
        <v>20000</v>
      </c>
    </row>
    <row r="6" spans="1:21" s="141" customFormat="1" ht="24" customHeight="1" x14ac:dyDescent="0.2">
      <c r="A6" s="48" t="s">
        <v>208</v>
      </c>
      <c r="B6" s="48" t="s">
        <v>201</v>
      </c>
      <c r="C6" s="153">
        <v>340</v>
      </c>
      <c r="D6" s="154" t="s">
        <v>169</v>
      </c>
      <c r="E6" s="48">
        <v>35849</v>
      </c>
      <c r="F6" s="156">
        <f t="shared" si="0"/>
        <v>2592</v>
      </c>
      <c r="G6" s="161">
        <f t="shared" si="1"/>
        <v>34257</v>
      </c>
      <c r="H6" s="146">
        <v>45996</v>
      </c>
      <c r="I6" s="163">
        <v>33257</v>
      </c>
      <c r="J6" s="174">
        <v>13661</v>
      </c>
      <c r="K6" s="146">
        <v>45908</v>
      </c>
      <c r="L6" s="173">
        <f t="shared" si="2"/>
        <v>18661</v>
      </c>
      <c r="M6" s="158">
        <v>13661</v>
      </c>
      <c r="N6" s="146">
        <v>45908</v>
      </c>
      <c r="O6" s="156">
        <f t="shared" si="3"/>
        <v>23661</v>
      </c>
      <c r="P6" s="194"/>
      <c r="Q6" s="139"/>
      <c r="R6" s="193">
        <f t="shared" si="4"/>
        <v>10000</v>
      </c>
      <c r="S6" s="187"/>
      <c r="T6" s="139"/>
      <c r="U6" s="140">
        <f t="shared" si="5"/>
        <v>20000</v>
      </c>
    </row>
    <row r="7" spans="1:21" ht="24" customHeight="1" x14ac:dyDescent="0.2">
      <c r="A7" s="48" t="s">
        <v>208</v>
      </c>
      <c r="B7" s="43" t="s">
        <v>199</v>
      </c>
      <c r="C7" s="217">
        <v>341</v>
      </c>
      <c r="D7" s="151" t="s">
        <v>173</v>
      </c>
      <c r="E7" s="43">
        <v>21786</v>
      </c>
      <c r="F7" s="156">
        <f t="shared" si="0"/>
        <v>66</v>
      </c>
      <c r="G7" s="161">
        <f t="shared" si="1"/>
        <v>22720</v>
      </c>
      <c r="H7" s="148">
        <v>46125</v>
      </c>
      <c r="I7" s="164">
        <v>21720</v>
      </c>
      <c r="J7" s="175">
        <v>21720</v>
      </c>
      <c r="K7" s="144"/>
      <c r="L7" s="173">
        <f t="shared" si="2"/>
        <v>26720</v>
      </c>
      <c r="M7" s="169">
        <v>21784</v>
      </c>
      <c r="N7" s="147">
        <v>46126</v>
      </c>
      <c r="O7" s="156">
        <f t="shared" si="3"/>
        <v>31784</v>
      </c>
      <c r="P7" s="195"/>
      <c r="Q7" s="144"/>
      <c r="R7" s="193">
        <f t="shared" si="4"/>
        <v>10000</v>
      </c>
      <c r="S7" s="169"/>
      <c r="T7" s="144"/>
      <c r="U7" s="140">
        <f t="shared" si="5"/>
        <v>20000</v>
      </c>
    </row>
    <row r="8" spans="1:21" ht="24" customHeight="1" x14ac:dyDescent="0.2">
      <c r="A8" s="48" t="s">
        <v>208</v>
      </c>
      <c r="B8" s="43" t="s">
        <v>202</v>
      </c>
      <c r="C8" s="217">
        <v>342</v>
      </c>
      <c r="D8" s="151" t="s">
        <v>174</v>
      </c>
      <c r="E8" s="43">
        <v>4714</v>
      </c>
      <c r="F8" s="156">
        <f t="shared" si="0"/>
        <v>3014</v>
      </c>
      <c r="G8" s="161">
        <f t="shared" si="1"/>
        <v>2700</v>
      </c>
      <c r="H8" s="148">
        <v>46076</v>
      </c>
      <c r="I8" s="164">
        <v>1700</v>
      </c>
      <c r="J8" s="175"/>
      <c r="K8" s="144"/>
      <c r="L8" s="173">
        <f t="shared" si="2"/>
        <v>5000</v>
      </c>
      <c r="M8" s="169"/>
      <c r="N8" s="144"/>
      <c r="O8" s="156">
        <f t="shared" si="3"/>
        <v>10000</v>
      </c>
      <c r="P8" s="195"/>
      <c r="Q8" s="144"/>
      <c r="R8" s="193">
        <f t="shared" si="4"/>
        <v>10000</v>
      </c>
      <c r="S8" s="169"/>
      <c r="T8" s="144"/>
      <c r="U8" s="140">
        <f t="shared" si="5"/>
        <v>20000</v>
      </c>
    </row>
    <row r="9" spans="1:21" ht="24" customHeight="1" x14ac:dyDescent="0.2">
      <c r="A9" s="48" t="s">
        <v>208</v>
      </c>
      <c r="B9" s="43" t="s">
        <v>201</v>
      </c>
      <c r="C9" s="217">
        <v>343</v>
      </c>
      <c r="D9" s="151" t="s">
        <v>175</v>
      </c>
      <c r="E9" s="43">
        <v>8063</v>
      </c>
      <c r="F9" s="156">
        <f t="shared" si="0"/>
        <v>973</v>
      </c>
      <c r="G9" s="161">
        <f t="shared" si="1"/>
        <v>8090</v>
      </c>
      <c r="H9" s="148">
        <v>46105</v>
      </c>
      <c r="I9" s="164">
        <v>7090</v>
      </c>
      <c r="J9" s="175"/>
      <c r="K9" s="144"/>
      <c r="L9" s="173">
        <f t="shared" si="2"/>
        <v>5000</v>
      </c>
      <c r="M9" s="169"/>
      <c r="N9" s="144"/>
      <c r="O9" s="156">
        <f t="shared" si="3"/>
        <v>10000</v>
      </c>
      <c r="P9" s="195"/>
      <c r="Q9" s="144"/>
      <c r="R9" s="193">
        <f t="shared" si="4"/>
        <v>10000</v>
      </c>
      <c r="S9" s="169"/>
      <c r="T9" s="144"/>
      <c r="U9" s="140">
        <f t="shared" si="5"/>
        <v>20000</v>
      </c>
    </row>
    <row r="10" spans="1:21" ht="24" customHeight="1" x14ac:dyDescent="0.2">
      <c r="A10" s="48" t="s">
        <v>208</v>
      </c>
      <c r="B10" s="43" t="s">
        <v>203</v>
      </c>
      <c r="C10" s="217">
        <v>344</v>
      </c>
      <c r="D10" s="151" t="s">
        <v>176</v>
      </c>
      <c r="E10" s="43">
        <v>9904</v>
      </c>
      <c r="F10" s="156">
        <f t="shared" si="0"/>
        <v>1841</v>
      </c>
      <c r="G10" s="161">
        <f t="shared" si="1"/>
        <v>9063</v>
      </c>
      <c r="H10" s="148">
        <v>46092</v>
      </c>
      <c r="I10" s="164">
        <v>8063</v>
      </c>
      <c r="J10" s="175"/>
      <c r="K10" s="144"/>
      <c r="L10" s="173">
        <f t="shared" si="2"/>
        <v>5000</v>
      </c>
      <c r="M10" s="169"/>
      <c r="N10" s="144"/>
      <c r="O10" s="156">
        <f t="shared" si="3"/>
        <v>10000</v>
      </c>
      <c r="P10" s="195"/>
      <c r="Q10" s="144"/>
      <c r="R10" s="193">
        <f t="shared" si="4"/>
        <v>10000</v>
      </c>
      <c r="S10" s="169"/>
      <c r="T10" s="144"/>
      <c r="U10" s="140">
        <f t="shared" si="5"/>
        <v>20000</v>
      </c>
    </row>
    <row r="11" spans="1:21" ht="24" customHeight="1" x14ac:dyDescent="0.2">
      <c r="A11" s="48" t="s">
        <v>208</v>
      </c>
      <c r="B11" s="43" t="s">
        <v>203</v>
      </c>
      <c r="C11" s="217">
        <v>345</v>
      </c>
      <c r="D11" s="151" t="s">
        <v>177</v>
      </c>
      <c r="E11" s="43">
        <v>5872</v>
      </c>
      <c r="F11" s="156">
        <f t="shared" si="0"/>
        <v>4205</v>
      </c>
      <c r="G11" s="161">
        <f t="shared" si="1"/>
        <v>2667</v>
      </c>
      <c r="H11" s="148">
        <v>46049</v>
      </c>
      <c r="I11" s="164">
        <v>1667</v>
      </c>
      <c r="J11" s="175"/>
      <c r="K11" s="144"/>
      <c r="L11" s="173">
        <f t="shared" si="2"/>
        <v>5000</v>
      </c>
      <c r="M11" s="169"/>
      <c r="N11" s="144"/>
      <c r="O11" s="156">
        <f t="shared" si="3"/>
        <v>10000</v>
      </c>
      <c r="P11" s="195">
        <v>5015</v>
      </c>
      <c r="Q11" s="147">
        <v>46092</v>
      </c>
      <c r="R11" s="193">
        <f t="shared" si="4"/>
        <v>15015</v>
      </c>
      <c r="S11" s="169"/>
      <c r="T11" s="144"/>
      <c r="U11" s="140">
        <f t="shared" si="5"/>
        <v>20000</v>
      </c>
    </row>
    <row r="12" spans="1:21" ht="24" customHeight="1" x14ac:dyDescent="0.2">
      <c r="A12" s="48" t="s">
        <v>208</v>
      </c>
      <c r="B12" s="43" t="s">
        <v>204</v>
      </c>
      <c r="C12" s="217">
        <v>346</v>
      </c>
      <c r="D12" s="151" t="s">
        <v>178</v>
      </c>
      <c r="E12" s="43">
        <v>17008</v>
      </c>
      <c r="F12" s="156">
        <f t="shared" si="0"/>
        <v>1904</v>
      </c>
      <c r="G12" s="161">
        <f t="shared" si="1"/>
        <v>16104</v>
      </c>
      <c r="H12" s="148">
        <v>46106</v>
      </c>
      <c r="I12" s="164">
        <v>15104</v>
      </c>
      <c r="J12" s="175">
        <v>9800</v>
      </c>
      <c r="K12" s="147">
        <v>46106</v>
      </c>
      <c r="L12" s="173">
        <f t="shared" si="2"/>
        <v>14800</v>
      </c>
      <c r="M12" s="169"/>
      <c r="N12" s="144"/>
      <c r="O12" s="156">
        <f t="shared" si="3"/>
        <v>10000</v>
      </c>
      <c r="P12" s="195">
        <v>15104</v>
      </c>
      <c r="Q12" s="147">
        <v>46107</v>
      </c>
      <c r="R12" s="193">
        <f t="shared" si="4"/>
        <v>25104</v>
      </c>
      <c r="S12" s="169"/>
      <c r="T12" s="144"/>
      <c r="U12" s="140">
        <f t="shared" si="5"/>
        <v>20000</v>
      </c>
    </row>
    <row r="13" spans="1:21" ht="24" customHeight="1" x14ac:dyDescent="0.2">
      <c r="A13" s="48" t="s">
        <v>208</v>
      </c>
      <c r="B13" s="43" t="s">
        <v>204</v>
      </c>
      <c r="C13" s="217">
        <v>347</v>
      </c>
      <c r="D13" s="151" t="s">
        <v>179</v>
      </c>
      <c r="E13" s="43">
        <v>11022</v>
      </c>
      <c r="F13" s="156">
        <f t="shared" si="0"/>
        <v>4326</v>
      </c>
      <c r="G13" s="161">
        <f t="shared" si="1"/>
        <v>7696</v>
      </c>
      <c r="H13" s="148">
        <v>45912</v>
      </c>
      <c r="I13" s="164">
        <v>6696</v>
      </c>
      <c r="J13" s="175"/>
      <c r="K13" s="144"/>
      <c r="L13" s="173">
        <f t="shared" si="2"/>
        <v>5000</v>
      </c>
      <c r="M13" s="169"/>
      <c r="N13" s="144"/>
      <c r="O13" s="156">
        <f t="shared" si="3"/>
        <v>10000</v>
      </c>
      <c r="P13" s="195"/>
      <c r="Q13" s="144"/>
      <c r="R13" s="193">
        <f t="shared" si="4"/>
        <v>10000</v>
      </c>
      <c r="S13" s="169"/>
      <c r="T13" s="144"/>
      <c r="U13" s="140">
        <f t="shared" si="5"/>
        <v>20000</v>
      </c>
    </row>
    <row r="14" spans="1:21" ht="24" customHeight="1" x14ac:dyDescent="0.2">
      <c r="A14" s="48" t="s">
        <v>208</v>
      </c>
      <c r="B14" s="43" t="s">
        <v>204</v>
      </c>
      <c r="C14" s="217">
        <v>348</v>
      </c>
      <c r="D14" s="151" t="s">
        <v>180</v>
      </c>
      <c r="E14" s="43">
        <v>11169</v>
      </c>
      <c r="F14" s="156">
        <v>2083</v>
      </c>
      <c r="G14" s="161">
        <f t="shared" si="1"/>
        <v>8577</v>
      </c>
      <c r="H14" s="148">
        <v>46080</v>
      </c>
      <c r="I14" s="164">
        <v>7577</v>
      </c>
      <c r="J14" s="175"/>
      <c r="K14" s="144"/>
      <c r="L14" s="173">
        <f t="shared" si="2"/>
        <v>5000</v>
      </c>
      <c r="M14" s="169"/>
      <c r="N14" s="144"/>
      <c r="O14" s="156">
        <f t="shared" si="3"/>
        <v>10000</v>
      </c>
      <c r="P14" s="195">
        <v>9241</v>
      </c>
      <c r="Q14" s="147">
        <v>46078</v>
      </c>
      <c r="R14" s="193">
        <f t="shared" si="4"/>
        <v>19241</v>
      </c>
      <c r="S14" s="169"/>
      <c r="T14" s="144"/>
      <c r="U14" s="140">
        <f t="shared" si="5"/>
        <v>20000</v>
      </c>
    </row>
    <row r="15" spans="1:21" ht="24" customHeight="1" x14ac:dyDescent="0.2">
      <c r="A15" s="48" t="s">
        <v>208</v>
      </c>
      <c r="B15" s="43" t="s">
        <v>204</v>
      </c>
      <c r="C15" s="217">
        <v>349</v>
      </c>
      <c r="D15" s="151" t="s">
        <v>181</v>
      </c>
      <c r="E15" s="43">
        <v>15776</v>
      </c>
      <c r="F15" s="156">
        <f t="shared" si="0"/>
        <v>2898</v>
      </c>
      <c r="G15" s="161">
        <f t="shared" si="1"/>
        <v>13878</v>
      </c>
      <c r="H15" s="148">
        <v>46106</v>
      </c>
      <c r="I15" s="164">
        <v>12878</v>
      </c>
      <c r="J15" s="175"/>
      <c r="K15" s="144"/>
      <c r="L15" s="173">
        <f t="shared" si="2"/>
        <v>5000</v>
      </c>
      <c r="M15" s="169"/>
      <c r="N15" s="144"/>
      <c r="O15" s="156">
        <f t="shared" si="3"/>
        <v>10000</v>
      </c>
      <c r="P15" s="195"/>
      <c r="Q15" s="144"/>
      <c r="R15" s="193">
        <f t="shared" si="4"/>
        <v>10000</v>
      </c>
      <c r="S15" s="169"/>
      <c r="T15" s="144"/>
      <c r="U15" s="140">
        <f t="shared" si="5"/>
        <v>20000</v>
      </c>
    </row>
    <row r="16" spans="1:21" ht="24" customHeight="1" x14ac:dyDescent="0.2">
      <c r="A16" s="48" t="s">
        <v>208</v>
      </c>
      <c r="B16" s="43" t="s">
        <v>199</v>
      </c>
      <c r="C16" s="217">
        <v>350</v>
      </c>
      <c r="D16" s="151" t="s">
        <v>182</v>
      </c>
      <c r="E16" s="43">
        <v>9713</v>
      </c>
      <c r="F16" s="156">
        <f t="shared" si="0"/>
        <v>4389</v>
      </c>
      <c r="G16" s="161">
        <f t="shared" si="1"/>
        <v>6324</v>
      </c>
      <c r="H16" s="148">
        <v>46009</v>
      </c>
      <c r="I16" s="164">
        <v>5324</v>
      </c>
      <c r="J16" s="175"/>
      <c r="K16" s="144"/>
      <c r="L16" s="173">
        <f t="shared" si="2"/>
        <v>5000</v>
      </c>
      <c r="M16" s="169"/>
      <c r="N16" s="144"/>
      <c r="O16" s="156">
        <f t="shared" si="3"/>
        <v>10000</v>
      </c>
      <c r="P16" s="195"/>
      <c r="Q16" s="144"/>
      <c r="R16" s="193">
        <f t="shared" si="4"/>
        <v>10000</v>
      </c>
      <c r="S16" s="169"/>
      <c r="T16" s="144"/>
      <c r="U16" s="140">
        <f t="shared" si="5"/>
        <v>20000</v>
      </c>
    </row>
    <row r="17" spans="1:21" ht="24" customHeight="1" x14ac:dyDescent="0.2">
      <c r="A17" s="48" t="s">
        <v>208</v>
      </c>
      <c r="B17" s="43" t="s">
        <v>201</v>
      </c>
      <c r="C17" s="217">
        <v>351</v>
      </c>
      <c r="D17" s="151" t="s">
        <v>183</v>
      </c>
      <c r="E17" s="43">
        <v>5692</v>
      </c>
      <c r="F17" s="156">
        <f t="shared" si="0"/>
        <v>4141</v>
      </c>
      <c r="G17" s="161">
        <f t="shared" si="1"/>
        <v>2551</v>
      </c>
      <c r="H17" s="148">
        <v>46029</v>
      </c>
      <c r="I17" s="164">
        <v>1551</v>
      </c>
      <c r="J17" s="175"/>
      <c r="K17" s="144"/>
      <c r="L17" s="173">
        <f t="shared" si="2"/>
        <v>5000</v>
      </c>
      <c r="M17" s="169"/>
      <c r="N17" s="144"/>
      <c r="O17" s="156">
        <f t="shared" si="3"/>
        <v>10000</v>
      </c>
      <c r="P17" s="195">
        <v>735</v>
      </c>
      <c r="Q17" s="147">
        <v>45884</v>
      </c>
      <c r="R17" s="193">
        <f t="shared" si="4"/>
        <v>10735</v>
      </c>
      <c r="S17" s="169"/>
      <c r="T17" s="144"/>
      <c r="U17" s="140">
        <f t="shared" si="5"/>
        <v>20000</v>
      </c>
    </row>
    <row r="18" spans="1:21" ht="24" customHeight="1" x14ac:dyDescent="0.2">
      <c r="A18" s="48" t="s">
        <v>208</v>
      </c>
      <c r="B18" s="43" t="s">
        <v>201</v>
      </c>
      <c r="C18" s="217">
        <v>352</v>
      </c>
      <c r="D18" s="151" t="s">
        <v>184</v>
      </c>
      <c r="E18" s="43">
        <v>4976</v>
      </c>
      <c r="F18" s="156">
        <f t="shared" si="0"/>
        <v>0</v>
      </c>
      <c r="G18" s="161">
        <f t="shared" si="1"/>
        <v>5976</v>
      </c>
      <c r="H18" s="148">
        <v>46125</v>
      </c>
      <c r="I18" s="164">
        <v>4976</v>
      </c>
      <c r="J18" s="175"/>
      <c r="K18" s="144"/>
      <c r="L18" s="173">
        <f t="shared" si="2"/>
        <v>5000</v>
      </c>
      <c r="M18" s="169"/>
      <c r="N18" s="144"/>
      <c r="O18" s="156">
        <f t="shared" si="3"/>
        <v>10000</v>
      </c>
      <c r="P18" s="195"/>
      <c r="Q18" s="144"/>
      <c r="R18" s="193">
        <f t="shared" si="4"/>
        <v>10000</v>
      </c>
      <c r="S18" s="169"/>
      <c r="T18" s="144"/>
      <c r="U18" s="140">
        <f t="shared" si="5"/>
        <v>20000</v>
      </c>
    </row>
    <row r="19" spans="1:21" ht="24" customHeight="1" x14ac:dyDescent="0.2">
      <c r="A19" s="48" t="s">
        <v>208</v>
      </c>
      <c r="B19" s="43" t="s">
        <v>199</v>
      </c>
      <c r="C19" s="217">
        <v>353</v>
      </c>
      <c r="D19" s="151" t="s">
        <v>185</v>
      </c>
      <c r="E19" s="43">
        <v>9236</v>
      </c>
      <c r="F19" s="156">
        <f t="shared" si="0"/>
        <v>1118</v>
      </c>
      <c r="G19" s="161">
        <f t="shared" si="1"/>
        <v>9118</v>
      </c>
      <c r="H19" s="148">
        <v>46105</v>
      </c>
      <c r="I19" s="164">
        <v>8118</v>
      </c>
      <c r="J19" s="175"/>
      <c r="K19" s="144"/>
      <c r="L19" s="173">
        <f t="shared" si="2"/>
        <v>5000</v>
      </c>
      <c r="M19" s="169"/>
      <c r="N19" s="144"/>
      <c r="O19" s="156">
        <f t="shared" si="3"/>
        <v>10000</v>
      </c>
      <c r="P19" s="195"/>
      <c r="Q19" s="144"/>
      <c r="R19" s="193">
        <f t="shared" si="4"/>
        <v>10000</v>
      </c>
      <c r="S19" s="169"/>
      <c r="T19" s="144"/>
      <c r="U19" s="140">
        <f t="shared" si="5"/>
        <v>20000</v>
      </c>
    </row>
    <row r="20" spans="1:21" ht="24" customHeight="1" x14ac:dyDescent="0.2">
      <c r="A20" s="48" t="s">
        <v>208</v>
      </c>
      <c r="B20" s="43" t="s">
        <v>199</v>
      </c>
      <c r="C20" s="217">
        <v>354</v>
      </c>
      <c r="D20" s="151" t="s">
        <v>186</v>
      </c>
      <c r="E20" s="43">
        <v>12112</v>
      </c>
      <c r="F20" s="156">
        <f>E20-I20</f>
        <v>0</v>
      </c>
      <c r="G20" s="161">
        <f t="shared" si="1"/>
        <v>13112</v>
      </c>
      <c r="H20" s="148">
        <v>46127</v>
      </c>
      <c r="I20" s="164">
        <v>12112</v>
      </c>
      <c r="J20" s="175"/>
      <c r="K20" s="144"/>
      <c r="L20" s="173">
        <f t="shared" si="2"/>
        <v>5000</v>
      </c>
      <c r="M20" s="169"/>
      <c r="N20" s="144"/>
      <c r="O20" s="156">
        <f t="shared" si="3"/>
        <v>10000</v>
      </c>
      <c r="P20" s="195"/>
      <c r="Q20" s="144"/>
      <c r="R20" s="193">
        <f t="shared" si="4"/>
        <v>10000</v>
      </c>
      <c r="S20" s="169"/>
      <c r="T20" s="144"/>
      <c r="U20" s="140">
        <f t="shared" si="5"/>
        <v>20000</v>
      </c>
    </row>
    <row r="21" spans="1:21" ht="24" customHeight="1" x14ac:dyDescent="0.2">
      <c r="A21" s="48" t="s">
        <v>208</v>
      </c>
      <c r="B21" s="43" t="s">
        <v>205</v>
      </c>
      <c r="C21" s="217">
        <v>355</v>
      </c>
      <c r="D21" s="151" t="s">
        <v>187</v>
      </c>
      <c r="E21" s="43">
        <v>18703</v>
      </c>
      <c r="F21" s="156">
        <f t="shared" si="0"/>
        <v>0</v>
      </c>
      <c r="G21" s="161">
        <f t="shared" si="1"/>
        <v>19703</v>
      </c>
      <c r="H21" s="148">
        <v>46126</v>
      </c>
      <c r="I21" s="164">
        <v>18703</v>
      </c>
      <c r="J21" s="175">
        <v>6825</v>
      </c>
      <c r="K21" s="144"/>
      <c r="L21" s="173">
        <f t="shared" si="2"/>
        <v>11825</v>
      </c>
      <c r="M21" s="169"/>
      <c r="N21" s="144"/>
      <c r="O21" s="156">
        <f t="shared" si="3"/>
        <v>10000</v>
      </c>
      <c r="P21" s="195">
        <v>763</v>
      </c>
      <c r="Q21" s="147">
        <v>45884</v>
      </c>
      <c r="R21" s="193">
        <f t="shared" si="4"/>
        <v>10763</v>
      </c>
      <c r="S21" s="169"/>
      <c r="T21" s="144"/>
      <c r="U21" s="140">
        <f t="shared" si="5"/>
        <v>20000</v>
      </c>
    </row>
    <row r="22" spans="1:21" ht="24" customHeight="1" x14ac:dyDescent="0.2">
      <c r="A22" s="48" t="s">
        <v>208</v>
      </c>
      <c r="B22" s="43" t="s">
        <v>205</v>
      </c>
      <c r="C22" s="217">
        <v>356</v>
      </c>
      <c r="D22" s="151" t="s">
        <v>188</v>
      </c>
      <c r="E22" s="43">
        <v>17620</v>
      </c>
      <c r="F22" s="156">
        <f t="shared" si="0"/>
        <v>0</v>
      </c>
      <c r="G22" s="161">
        <f t="shared" si="1"/>
        <v>18620</v>
      </c>
      <c r="H22" s="148">
        <v>46126</v>
      </c>
      <c r="I22" s="164">
        <v>17620</v>
      </c>
      <c r="J22" s="175">
        <v>6920</v>
      </c>
      <c r="K22" s="144"/>
      <c r="L22" s="173">
        <f t="shared" si="2"/>
        <v>11920</v>
      </c>
      <c r="M22" s="169"/>
      <c r="N22" s="144"/>
      <c r="O22" s="156">
        <f t="shared" si="3"/>
        <v>10000</v>
      </c>
      <c r="P22" s="195"/>
      <c r="Q22" s="144"/>
      <c r="R22" s="193">
        <f t="shared" si="4"/>
        <v>10000</v>
      </c>
      <c r="S22" s="169"/>
      <c r="T22" s="144"/>
      <c r="U22" s="140">
        <f t="shared" si="5"/>
        <v>20000</v>
      </c>
    </row>
    <row r="23" spans="1:21" ht="24" customHeight="1" x14ac:dyDescent="0.2">
      <c r="A23" s="48" t="s">
        <v>208</v>
      </c>
      <c r="B23" s="43" t="s">
        <v>199</v>
      </c>
      <c r="C23" s="217">
        <v>357</v>
      </c>
      <c r="D23" s="151" t="s">
        <v>189</v>
      </c>
      <c r="E23" s="43">
        <v>9265</v>
      </c>
      <c r="F23" s="156">
        <f t="shared" si="0"/>
        <v>2666</v>
      </c>
      <c r="G23" s="161">
        <f t="shared" si="1"/>
        <v>7599</v>
      </c>
      <c r="H23" s="148">
        <v>46086</v>
      </c>
      <c r="I23" s="164">
        <v>6599</v>
      </c>
      <c r="J23" s="175"/>
      <c r="K23" s="144"/>
      <c r="L23" s="173">
        <f t="shared" si="2"/>
        <v>5000</v>
      </c>
      <c r="M23" s="169"/>
      <c r="N23" s="144"/>
      <c r="O23" s="156">
        <f t="shared" si="3"/>
        <v>10000</v>
      </c>
      <c r="P23" s="195"/>
      <c r="Q23" s="144"/>
      <c r="R23" s="193">
        <f t="shared" si="4"/>
        <v>10000</v>
      </c>
      <c r="S23" s="169"/>
      <c r="T23" s="144"/>
      <c r="U23" s="140">
        <f t="shared" si="5"/>
        <v>20000</v>
      </c>
    </row>
    <row r="24" spans="1:21" ht="24" customHeight="1" x14ac:dyDescent="0.2">
      <c r="A24" s="48" t="s">
        <v>208</v>
      </c>
      <c r="B24" s="43" t="s">
        <v>201</v>
      </c>
      <c r="C24" s="217">
        <v>358</v>
      </c>
      <c r="D24" s="151" t="s">
        <v>191</v>
      </c>
      <c r="E24" s="43">
        <v>11795</v>
      </c>
      <c r="F24" s="156">
        <f t="shared" ref="F24:F29" si="6">E24-I24</f>
        <v>4218</v>
      </c>
      <c r="G24" s="161">
        <f t="shared" si="1"/>
        <v>8577</v>
      </c>
      <c r="H24" s="148">
        <v>46079</v>
      </c>
      <c r="I24" s="164">
        <v>7577</v>
      </c>
      <c r="J24" s="175"/>
      <c r="K24" s="144"/>
      <c r="L24" s="173">
        <f t="shared" ref="L24:L29" si="7">J24+5000</f>
        <v>5000</v>
      </c>
      <c r="M24" s="169"/>
      <c r="N24" s="144"/>
      <c r="O24" s="156">
        <f t="shared" ref="O24:O29" si="8">M24+10000</f>
        <v>10000</v>
      </c>
      <c r="P24" s="195"/>
      <c r="Q24" s="144"/>
      <c r="R24" s="193">
        <f t="shared" si="4"/>
        <v>10000</v>
      </c>
      <c r="S24" s="169"/>
      <c r="T24" s="144"/>
      <c r="U24" s="140">
        <f t="shared" ref="U24:U29" si="9">S24+20000</f>
        <v>20000</v>
      </c>
    </row>
    <row r="25" spans="1:21" ht="24" customHeight="1" x14ac:dyDescent="0.2">
      <c r="A25" s="48" t="s">
        <v>208</v>
      </c>
      <c r="B25" s="43" t="s">
        <v>204</v>
      </c>
      <c r="C25" s="217">
        <v>359</v>
      </c>
      <c r="D25" s="151" t="s">
        <v>192</v>
      </c>
      <c r="E25" s="43">
        <v>7184</v>
      </c>
      <c r="F25" s="156">
        <f t="shared" si="6"/>
        <v>5745</v>
      </c>
      <c r="G25" s="161">
        <f t="shared" si="1"/>
        <v>2439</v>
      </c>
      <c r="H25" s="148">
        <v>46029</v>
      </c>
      <c r="I25" s="164">
        <v>1439</v>
      </c>
      <c r="J25" s="175"/>
      <c r="K25" s="144"/>
      <c r="L25" s="173">
        <f t="shared" si="7"/>
        <v>5000</v>
      </c>
      <c r="M25" s="169"/>
      <c r="N25" s="144"/>
      <c r="O25" s="156">
        <f t="shared" si="8"/>
        <v>10000</v>
      </c>
      <c r="P25" s="195"/>
      <c r="Q25" s="144"/>
      <c r="R25" s="193">
        <f t="shared" si="4"/>
        <v>10000</v>
      </c>
      <c r="S25" s="169"/>
      <c r="T25" s="144"/>
      <c r="U25" s="140">
        <f t="shared" si="9"/>
        <v>20000</v>
      </c>
    </row>
    <row r="26" spans="1:21" ht="24" customHeight="1" x14ac:dyDescent="0.2">
      <c r="A26" s="48" t="s">
        <v>208</v>
      </c>
      <c r="B26" s="43" t="s">
        <v>201</v>
      </c>
      <c r="C26" s="217">
        <v>360</v>
      </c>
      <c r="D26" s="151" t="s">
        <v>193</v>
      </c>
      <c r="E26" s="43">
        <v>5992</v>
      </c>
      <c r="F26" s="156">
        <f t="shared" si="6"/>
        <v>681</v>
      </c>
      <c r="G26" s="161">
        <f t="shared" si="1"/>
        <v>6311</v>
      </c>
      <c r="H26" s="148">
        <v>46120</v>
      </c>
      <c r="I26" s="164">
        <v>5311</v>
      </c>
      <c r="J26" s="175"/>
      <c r="K26" s="144"/>
      <c r="L26" s="173">
        <f t="shared" si="7"/>
        <v>5000</v>
      </c>
      <c r="M26" s="169"/>
      <c r="N26" s="144"/>
      <c r="O26" s="156">
        <f t="shared" si="8"/>
        <v>10000</v>
      </c>
      <c r="P26" s="195"/>
      <c r="Q26" s="144"/>
      <c r="R26" s="193">
        <f t="shared" si="4"/>
        <v>10000</v>
      </c>
      <c r="S26" s="169"/>
      <c r="T26" s="144"/>
      <c r="U26" s="140">
        <f t="shared" si="9"/>
        <v>20000</v>
      </c>
    </row>
    <row r="27" spans="1:21" ht="24" customHeight="1" x14ac:dyDescent="0.2">
      <c r="A27" s="48" t="s">
        <v>208</v>
      </c>
      <c r="B27" s="43" t="s">
        <v>199</v>
      </c>
      <c r="C27" s="217">
        <v>361</v>
      </c>
      <c r="D27" s="151" t="s">
        <v>194</v>
      </c>
      <c r="E27" s="43">
        <v>12839</v>
      </c>
      <c r="F27" s="156">
        <f t="shared" si="6"/>
        <v>0</v>
      </c>
      <c r="G27" s="161">
        <f t="shared" si="1"/>
        <v>13839</v>
      </c>
      <c r="H27" s="148">
        <v>46126</v>
      </c>
      <c r="I27" s="164">
        <v>12839</v>
      </c>
      <c r="J27" s="175"/>
      <c r="K27" s="144"/>
      <c r="L27" s="173">
        <f t="shared" si="7"/>
        <v>5000</v>
      </c>
      <c r="M27" s="169"/>
      <c r="N27" s="144"/>
      <c r="O27" s="156">
        <f t="shared" si="8"/>
        <v>10000</v>
      </c>
      <c r="P27" s="195"/>
      <c r="Q27" s="144"/>
      <c r="R27" s="193">
        <f t="shared" si="4"/>
        <v>10000</v>
      </c>
      <c r="S27" s="169"/>
      <c r="T27" s="144"/>
      <c r="U27" s="140">
        <f t="shared" si="9"/>
        <v>20000</v>
      </c>
    </row>
    <row r="28" spans="1:21" ht="24" customHeight="1" x14ac:dyDescent="0.2">
      <c r="A28" s="48" t="s">
        <v>208</v>
      </c>
      <c r="B28" s="43" t="s">
        <v>203</v>
      </c>
      <c r="C28" s="217">
        <v>362</v>
      </c>
      <c r="D28" s="151" t="s">
        <v>195</v>
      </c>
      <c r="E28" s="43">
        <v>11591</v>
      </c>
      <c r="F28" s="156">
        <f t="shared" si="6"/>
        <v>4607</v>
      </c>
      <c r="G28" s="161">
        <f t="shared" si="1"/>
        <v>7984</v>
      </c>
      <c r="H28" s="148">
        <v>46072</v>
      </c>
      <c r="I28" s="164">
        <v>6984</v>
      </c>
      <c r="J28" s="175"/>
      <c r="K28" s="144"/>
      <c r="L28" s="173">
        <f t="shared" si="7"/>
        <v>5000</v>
      </c>
      <c r="M28" s="169"/>
      <c r="N28" s="144"/>
      <c r="O28" s="156">
        <f t="shared" si="8"/>
        <v>10000</v>
      </c>
      <c r="P28" s="195"/>
      <c r="Q28" s="144"/>
      <c r="R28" s="193">
        <f t="shared" si="4"/>
        <v>10000</v>
      </c>
      <c r="S28" s="169"/>
      <c r="T28" s="144"/>
      <c r="U28" s="140">
        <f t="shared" si="9"/>
        <v>20000</v>
      </c>
    </row>
    <row r="29" spans="1:21" ht="24" customHeight="1" thickBot="1" x14ac:dyDescent="0.25">
      <c r="A29" s="48" t="s">
        <v>208</v>
      </c>
      <c r="B29" s="43" t="s">
        <v>206</v>
      </c>
      <c r="C29" s="218">
        <v>363</v>
      </c>
      <c r="D29" s="152" t="s">
        <v>196</v>
      </c>
      <c r="E29" s="43">
        <v>11260</v>
      </c>
      <c r="F29" s="156">
        <f t="shared" si="6"/>
        <v>8754</v>
      </c>
      <c r="G29" s="161">
        <f t="shared" si="1"/>
        <v>3506</v>
      </c>
      <c r="H29" s="165">
        <v>46003</v>
      </c>
      <c r="I29" s="166">
        <v>2506</v>
      </c>
      <c r="J29" s="176"/>
      <c r="K29" s="177"/>
      <c r="L29" s="178">
        <f t="shared" si="7"/>
        <v>5000</v>
      </c>
      <c r="M29" s="169"/>
      <c r="N29" s="144"/>
      <c r="O29" s="156">
        <f t="shared" si="8"/>
        <v>10000</v>
      </c>
      <c r="P29" s="196"/>
      <c r="Q29" s="177"/>
      <c r="R29" s="193">
        <f t="shared" si="4"/>
        <v>10000</v>
      </c>
      <c r="S29" s="169"/>
      <c r="T29" s="144"/>
      <c r="U29" s="140">
        <f t="shared" si="9"/>
        <v>20000</v>
      </c>
    </row>
  </sheetData>
  <mergeCells count="1">
    <mergeCell ref="G2:H2"/>
  </mergeCells>
  <conditionalFormatting sqref="F4:F29">
    <cfRule type="cellIs" dxfId="9" priority="2" operator="greaterThan">
      <formula>8500</formula>
    </cfRule>
  </conditionalFormatting>
  <conditionalFormatting sqref="L4:L29 O4:O29 U4:U29 R4:R29">
    <cfRule type="cellIs" dxfId="8" priority="1" operator="lessThanOrEqual">
      <formula>$E4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I22"/>
  <sheetViews>
    <sheetView zoomScale="80" zoomScaleNormal="80" workbookViewId="0">
      <selection activeCell="L8" sqref="L8"/>
    </sheetView>
  </sheetViews>
  <sheetFormatPr baseColWidth="10" defaultColWidth="11.42578125" defaultRowHeight="28.5" customHeight="1" x14ac:dyDescent="0.35"/>
  <cols>
    <col min="1" max="1" width="11.42578125" style="50"/>
    <col min="2" max="2" width="15.28515625" style="50" customWidth="1"/>
    <col min="3" max="3" width="14.28515625" style="64" customWidth="1"/>
    <col min="4" max="4" width="14.28515625" style="50" customWidth="1"/>
    <col min="5" max="5" width="24" style="54" customWidth="1"/>
    <col min="6" max="6" width="17" style="50" customWidth="1"/>
    <col min="7" max="7" width="11.42578125" style="50"/>
    <col min="8" max="8" width="12.28515625" style="50" bestFit="1" customWidth="1"/>
    <col min="9" max="9" width="24.7109375" style="50" bestFit="1" customWidth="1"/>
    <col min="10" max="16384" width="11.42578125" style="50"/>
  </cols>
  <sheetData>
    <row r="1" spans="1:9" ht="28.5" customHeight="1" x14ac:dyDescent="0.35">
      <c r="A1" s="60" t="s">
        <v>32</v>
      </c>
      <c r="B1" s="60"/>
      <c r="C1" s="61"/>
      <c r="D1" s="60"/>
      <c r="E1" s="60"/>
      <c r="F1" s="60"/>
      <c r="G1" s="60"/>
      <c r="H1" s="60"/>
      <c r="I1" s="60"/>
    </row>
    <row r="2" spans="1:9" s="55" customFormat="1" ht="63" x14ac:dyDescent="0.25">
      <c r="A2" s="56" t="s">
        <v>0</v>
      </c>
      <c r="B2" s="57" t="s">
        <v>1</v>
      </c>
      <c r="C2" s="62" t="s">
        <v>41</v>
      </c>
      <c r="D2" s="56" t="s">
        <v>120</v>
      </c>
      <c r="E2" s="58" t="s">
        <v>42</v>
      </c>
      <c r="F2" s="59" t="s">
        <v>22</v>
      </c>
      <c r="G2" s="59" t="s">
        <v>23</v>
      </c>
      <c r="H2" s="59" t="s">
        <v>24</v>
      </c>
      <c r="I2" s="59" t="s">
        <v>25</v>
      </c>
    </row>
    <row r="3" spans="1:9" ht="28.5" customHeight="1" x14ac:dyDescent="0.35">
      <c r="A3" s="42">
        <v>176</v>
      </c>
      <c r="B3" s="43" t="s">
        <v>135</v>
      </c>
      <c r="C3" s="63" t="str">
        <f ca="1">IF(E3&lt;TODAY(),"VENCIDA",IF(E3&gt;TODAY(),""))</f>
        <v>VENCIDA</v>
      </c>
      <c r="D3" s="51"/>
      <c r="E3" s="52"/>
      <c r="F3" s="53"/>
      <c r="G3" s="53">
        <v>1500</v>
      </c>
      <c r="H3" s="53" t="s">
        <v>166</v>
      </c>
      <c r="I3" s="53"/>
    </row>
    <row r="4" spans="1:9" ht="28.5" customHeight="1" x14ac:dyDescent="0.35">
      <c r="A4" s="42">
        <v>181</v>
      </c>
      <c r="B4" s="43" t="s">
        <v>136</v>
      </c>
      <c r="C4" s="63" t="str">
        <f ca="1">IF(E4&lt;TODAY(),"VENCIDA",IF(E4&gt;TODAY(),""))</f>
        <v>VENCIDA</v>
      </c>
      <c r="D4" s="51"/>
      <c r="E4" s="52"/>
      <c r="F4" s="53"/>
      <c r="G4" s="53">
        <v>1250</v>
      </c>
      <c r="H4" s="53" t="s">
        <v>165</v>
      </c>
      <c r="I4" s="53"/>
    </row>
    <row r="5" spans="1:9" ht="28.5" customHeight="1" x14ac:dyDescent="0.35">
      <c r="A5" s="42">
        <v>182</v>
      </c>
      <c r="B5" s="43" t="s">
        <v>137</v>
      </c>
      <c r="C5" s="63" t="str">
        <f t="shared" ref="C5:C22" ca="1" si="0">IF(E5&lt;TODAY(),"VENCIDA",IF(E5&gt;TODAY(),""))</f>
        <v>VENCIDA</v>
      </c>
      <c r="D5" s="51"/>
      <c r="E5" s="52"/>
      <c r="F5" s="53">
        <v>3230153128</v>
      </c>
      <c r="G5" s="53">
        <v>1500</v>
      </c>
      <c r="H5" s="53" t="s">
        <v>166</v>
      </c>
      <c r="I5" s="53"/>
    </row>
    <row r="6" spans="1:9" ht="28.5" customHeight="1" x14ac:dyDescent="0.35">
      <c r="A6" s="42">
        <v>240</v>
      </c>
      <c r="B6" s="43" t="s">
        <v>138</v>
      </c>
      <c r="C6" s="63" t="str">
        <f t="shared" ca="1" si="0"/>
        <v>VENCIDA</v>
      </c>
      <c r="D6" s="51"/>
      <c r="E6" s="52"/>
      <c r="F6" s="53"/>
      <c r="G6" s="53"/>
      <c r="H6" s="53"/>
      <c r="I6" s="53"/>
    </row>
    <row r="7" spans="1:9" ht="28.5" customHeight="1" x14ac:dyDescent="0.35">
      <c r="A7" s="42">
        <v>247</v>
      </c>
      <c r="B7" s="43" t="s">
        <v>139</v>
      </c>
      <c r="C7" s="63" t="str">
        <f t="shared" ca="1" si="0"/>
        <v>VENCIDA</v>
      </c>
      <c r="D7" s="51"/>
      <c r="E7" s="52"/>
      <c r="F7" s="53"/>
      <c r="G7" s="53"/>
      <c r="H7" s="53"/>
      <c r="I7" s="53"/>
    </row>
    <row r="8" spans="1:9" ht="28.5" customHeight="1" x14ac:dyDescent="0.35">
      <c r="A8" s="42">
        <v>249</v>
      </c>
      <c r="B8" s="43" t="s">
        <v>140</v>
      </c>
      <c r="C8" s="63" t="str">
        <f t="shared" ca="1" si="0"/>
        <v>VENCIDA</v>
      </c>
      <c r="D8" s="51"/>
      <c r="E8" s="52"/>
      <c r="F8" s="53"/>
      <c r="G8" s="53"/>
      <c r="H8" s="53"/>
      <c r="I8" s="53"/>
    </row>
    <row r="9" spans="1:9" ht="28.5" customHeight="1" x14ac:dyDescent="0.35">
      <c r="A9" s="42">
        <v>250</v>
      </c>
      <c r="B9" s="43" t="s">
        <v>141</v>
      </c>
      <c r="C9" s="63" t="str">
        <f t="shared" ca="1" si="0"/>
        <v>VENCIDA</v>
      </c>
      <c r="D9" s="51"/>
      <c r="E9" s="52"/>
      <c r="F9" s="53"/>
      <c r="G9" s="53"/>
      <c r="H9" s="53"/>
      <c r="I9" s="53"/>
    </row>
    <row r="10" spans="1:9" ht="28.5" customHeight="1" x14ac:dyDescent="0.35">
      <c r="A10" s="44">
        <v>251</v>
      </c>
      <c r="B10" s="43" t="s">
        <v>142</v>
      </c>
      <c r="C10" s="63" t="str">
        <f t="shared" ca="1" si="0"/>
        <v>VENCIDA</v>
      </c>
      <c r="D10" s="51"/>
      <c r="E10" s="52"/>
      <c r="F10" s="53"/>
      <c r="G10" s="53"/>
      <c r="H10" s="53"/>
      <c r="I10" s="53"/>
    </row>
    <row r="11" spans="1:9" ht="28.5" customHeight="1" x14ac:dyDescent="0.35">
      <c r="A11" s="44">
        <v>261</v>
      </c>
      <c r="B11" s="45" t="s">
        <v>143</v>
      </c>
      <c r="C11" s="63" t="str">
        <f t="shared" ca="1" si="0"/>
        <v>VENCIDA</v>
      </c>
      <c r="D11" s="51"/>
      <c r="E11" s="52"/>
      <c r="F11" s="53"/>
      <c r="G11" s="53"/>
      <c r="H11" s="53"/>
      <c r="I11" s="53"/>
    </row>
    <row r="12" spans="1:9" ht="28.5" customHeight="1" x14ac:dyDescent="0.35">
      <c r="A12" s="46">
        <v>262</v>
      </c>
      <c r="B12" s="45" t="s">
        <v>144</v>
      </c>
      <c r="C12" s="63" t="str">
        <f t="shared" ca="1" si="0"/>
        <v>VENCIDA</v>
      </c>
      <c r="D12" s="51"/>
      <c r="E12" s="52"/>
      <c r="F12" s="53"/>
      <c r="G12" s="53"/>
      <c r="H12" s="53"/>
      <c r="I12" s="53"/>
    </row>
    <row r="13" spans="1:9" ht="28.5" customHeight="1" x14ac:dyDescent="0.35">
      <c r="A13" s="47">
        <v>263</v>
      </c>
      <c r="B13" s="48" t="s">
        <v>145</v>
      </c>
      <c r="C13" s="63" t="str">
        <f t="shared" ca="1" si="0"/>
        <v>VENCIDA</v>
      </c>
      <c r="D13" s="51"/>
      <c r="E13" s="52"/>
      <c r="F13" s="53"/>
      <c r="G13" s="53"/>
      <c r="H13" s="53"/>
      <c r="I13" s="53"/>
    </row>
    <row r="14" spans="1:9" ht="28.5" customHeight="1" x14ac:dyDescent="0.35">
      <c r="A14" s="49">
        <v>264</v>
      </c>
      <c r="B14" s="48" t="s">
        <v>146</v>
      </c>
      <c r="C14" s="63" t="str">
        <f t="shared" ca="1" si="0"/>
        <v>VENCIDA</v>
      </c>
      <c r="D14" s="51"/>
      <c r="E14" s="52"/>
      <c r="F14" s="53"/>
      <c r="G14" s="53"/>
      <c r="H14" s="53"/>
      <c r="I14" s="53"/>
    </row>
    <row r="15" spans="1:9" ht="28.5" customHeight="1" x14ac:dyDescent="0.35">
      <c r="A15" s="42">
        <v>265</v>
      </c>
      <c r="B15" s="43" t="s">
        <v>147</v>
      </c>
      <c r="C15" s="63" t="str">
        <f t="shared" ca="1" si="0"/>
        <v>VENCIDA</v>
      </c>
      <c r="D15" s="51"/>
      <c r="E15" s="52"/>
      <c r="F15" s="53"/>
      <c r="G15" s="53"/>
      <c r="H15" s="53"/>
      <c r="I15" s="53"/>
    </row>
    <row r="16" spans="1:9" ht="28.5" customHeight="1" x14ac:dyDescent="0.35">
      <c r="A16" s="49">
        <v>266</v>
      </c>
      <c r="B16" s="48" t="s">
        <v>148</v>
      </c>
      <c r="C16" s="63" t="str">
        <f t="shared" ca="1" si="0"/>
        <v>VENCIDA</v>
      </c>
      <c r="D16" s="51"/>
      <c r="E16" s="52"/>
      <c r="F16" s="53"/>
      <c r="G16" s="53"/>
      <c r="H16" s="53"/>
      <c r="I16" s="53"/>
    </row>
    <row r="17" spans="1:9" ht="28.5" customHeight="1" x14ac:dyDescent="0.35">
      <c r="A17" s="49">
        <v>267</v>
      </c>
      <c r="B17" s="48" t="s">
        <v>149</v>
      </c>
      <c r="C17" s="63" t="str">
        <f t="shared" ca="1" si="0"/>
        <v>VENCIDA</v>
      </c>
      <c r="D17" s="51"/>
      <c r="E17" s="52"/>
      <c r="F17" s="53"/>
      <c r="G17" s="53"/>
      <c r="H17" s="53"/>
      <c r="I17" s="53"/>
    </row>
    <row r="18" spans="1:9" ht="28.5" customHeight="1" x14ac:dyDescent="0.35">
      <c r="A18" s="49">
        <v>268</v>
      </c>
      <c r="B18" s="48" t="s">
        <v>150</v>
      </c>
      <c r="C18" s="63" t="str">
        <f t="shared" ca="1" si="0"/>
        <v>VENCIDA</v>
      </c>
      <c r="D18" s="51"/>
      <c r="E18" s="52"/>
      <c r="F18" s="53"/>
      <c r="G18" s="53"/>
      <c r="H18" s="53"/>
      <c r="I18" s="53"/>
    </row>
    <row r="19" spans="1:9" ht="28.5" customHeight="1" x14ac:dyDescent="0.35">
      <c r="A19" s="49">
        <v>271</v>
      </c>
      <c r="B19" s="48" t="s">
        <v>151</v>
      </c>
      <c r="C19" s="63" t="str">
        <f t="shared" ca="1" si="0"/>
        <v>VENCIDA</v>
      </c>
      <c r="D19" s="51"/>
      <c r="E19" s="52"/>
      <c r="F19" s="53"/>
      <c r="G19" s="53"/>
      <c r="H19" s="53"/>
      <c r="I19" s="53"/>
    </row>
    <row r="20" spans="1:9" ht="28.5" customHeight="1" x14ac:dyDescent="0.35">
      <c r="A20" s="49">
        <v>272</v>
      </c>
      <c r="B20" s="48" t="s">
        <v>152</v>
      </c>
      <c r="C20" s="63" t="str">
        <f t="shared" ca="1" si="0"/>
        <v>VENCIDA</v>
      </c>
      <c r="D20" s="51"/>
      <c r="E20" s="52"/>
      <c r="F20" s="53"/>
      <c r="G20" s="53"/>
      <c r="H20" s="53"/>
      <c r="I20" s="53"/>
    </row>
    <row r="21" spans="1:9" ht="28.5" customHeight="1" x14ac:dyDescent="0.35">
      <c r="A21" s="49">
        <v>282</v>
      </c>
      <c r="B21" s="48" t="s">
        <v>153</v>
      </c>
      <c r="C21" s="63" t="str">
        <f t="shared" ca="1" si="0"/>
        <v>VENCIDA</v>
      </c>
      <c r="D21" s="51"/>
      <c r="E21" s="52"/>
      <c r="F21" s="53"/>
      <c r="G21" s="53"/>
      <c r="H21" s="53"/>
      <c r="I21" s="53"/>
    </row>
    <row r="22" spans="1:9" ht="28.5" customHeight="1" x14ac:dyDescent="0.35">
      <c r="A22" s="49">
        <v>283</v>
      </c>
      <c r="B22" s="48" t="s">
        <v>154</v>
      </c>
      <c r="C22" s="63" t="str">
        <f t="shared" ca="1" si="0"/>
        <v>VENCIDA</v>
      </c>
      <c r="D22" s="51"/>
      <c r="E22" s="52"/>
      <c r="F22" s="53"/>
      <c r="G22" s="53"/>
      <c r="H22" s="53"/>
      <c r="I22" s="53"/>
    </row>
  </sheetData>
  <sheetProtection algorithmName="SHA-512" hashValue="tDJD5sZjcb0fpANkqpmjAG/JT3bxCv9n/jkydBXsBgpui2GakkQOlnRWnK8OesGyxJ67V0fg1dkhLIh4psNxkA==" saltValue="fia6Zc1Cc+KDvwZDQl9Xkw==" spinCount="100000" sheet="1" objects="1" scenarios="1"/>
  <conditionalFormatting sqref="C3:D22">
    <cfRule type="expression" dxfId="7" priority="1">
      <formula>C3="VENCIDA"</formula>
    </cfRule>
  </conditionalFormatting>
  <conditionalFormatting sqref="E3">
    <cfRule type="timePeriod" dxfId="6" priority="2" timePeriod="today">
      <formula>FLOOR(E3,1)=TODAY()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D16"/>
  <sheetViews>
    <sheetView topLeftCell="A4" zoomScale="80" zoomScaleNormal="80" workbookViewId="0">
      <selection activeCell="J20" sqref="J20"/>
    </sheetView>
  </sheetViews>
  <sheetFormatPr baseColWidth="10" defaultColWidth="11.42578125" defaultRowHeight="18.75" x14ac:dyDescent="0.3"/>
  <cols>
    <col min="1" max="5" width="11.42578125" style="65"/>
    <col min="6" max="6" width="14.7109375" style="65" bestFit="1" customWidth="1"/>
    <col min="7" max="7" width="18.28515625" style="79" customWidth="1"/>
    <col min="8" max="8" width="1.140625" style="65" customWidth="1"/>
    <col min="9" max="11" width="11.42578125" style="65"/>
    <col min="12" max="12" width="14.7109375" style="65" bestFit="1" customWidth="1"/>
    <col min="13" max="13" width="17.42578125" style="79" customWidth="1"/>
    <col min="14" max="14" width="0.85546875" style="65" customWidth="1"/>
    <col min="15" max="17" width="11.42578125" style="65"/>
    <col min="18" max="18" width="14.7109375" style="65" bestFit="1" customWidth="1"/>
    <col min="19" max="19" width="17.140625" style="79" customWidth="1"/>
    <col min="20" max="20" width="0.85546875" style="65" customWidth="1"/>
    <col min="21" max="23" width="11.42578125" style="65"/>
    <col min="24" max="24" width="14.7109375" style="65" bestFit="1" customWidth="1"/>
    <col min="25" max="25" width="18.85546875" style="79" customWidth="1"/>
    <col min="26" max="28" width="11.42578125" style="65"/>
    <col min="29" max="29" width="14.7109375" style="65" bestFit="1" customWidth="1"/>
    <col min="30" max="30" width="17.7109375" style="75" customWidth="1"/>
    <col min="31" max="16384" width="11.42578125" style="65"/>
  </cols>
  <sheetData>
    <row r="1" spans="1:30" x14ac:dyDescent="0.3">
      <c r="C1" s="207" t="s">
        <v>28</v>
      </c>
      <c r="D1" s="208"/>
      <c r="E1" s="208"/>
      <c r="F1" s="208"/>
      <c r="G1" s="83"/>
      <c r="H1" s="205"/>
      <c r="I1" s="207" t="s">
        <v>29</v>
      </c>
      <c r="J1" s="208"/>
      <c r="K1" s="208"/>
      <c r="L1" s="208"/>
      <c r="M1" s="83"/>
      <c r="N1" s="205"/>
      <c r="O1" s="199" t="s">
        <v>30</v>
      </c>
      <c r="P1" s="200"/>
      <c r="Q1" s="200"/>
      <c r="R1" s="200"/>
      <c r="S1" s="76"/>
      <c r="T1" s="80"/>
      <c r="U1" s="199" t="s">
        <v>29</v>
      </c>
      <c r="V1" s="200"/>
      <c r="W1" s="200"/>
      <c r="X1" s="201"/>
      <c r="Y1" s="86"/>
      <c r="Z1" s="199" t="s">
        <v>127</v>
      </c>
      <c r="AA1" s="200"/>
      <c r="AB1" s="200"/>
      <c r="AC1" s="200"/>
      <c r="AD1" s="76"/>
    </row>
    <row r="2" spans="1:30" x14ac:dyDescent="0.3">
      <c r="C2" s="209" t="s">
        <v>31</v>
      </c>
      <c r="D2" s="210"/>
      <c r="E2" s="210"/>
      <c r="F2" s="210"/>
      <c r="G2" s="84"/>
      <c r="H2" s="206"/>
      <c r="I2" s="209" t="s">
        <v>31</v>
      </c>
      <c r="J2" s="210"/>
      <c r="K2" s="210"/>
      <c r="L2" s="210"/>
      <c r="M2" s="84"/>
      <c r="N2" s="206"/>
      <c r="O2" s="202" t="s">
        <v>33</v>
      </c>
      <c r="P2" s="203"/>
      <c r="Q2" s="203"/>
      <c r="R2" s="203"/>
      <c r="S2" s="85"/>
      <c r="T2" s="205"/>
      <c r="U2" s="202" t="s">
        <v>34</v>
      </c>
      <c r="V2" s="203"/>
      <c r="W2" s="203"/>
      <c r="X2" s="204"/>
      <c r="Y2" s="87"/>
      <c r="Z2" s="199"/>
      <c r="AA2" s="200"/>
      <c r="AB2" s="200"/>
      <c r="AC2" s="200"/>
      <c r="AD2" s="76"/>
    </row>
    <row r="3" spans="1:30" x14ac:dyDescent="0.3">
      <c r="A3" s="66" t="s">
        <v>0</v>
      </c>
      <c r="B3" s="67" t="s">
        <v>1</v>
      </c>
      <c r="C3" s="68" t="s">
        <v>26</v>
      </c>
      <c r="D3" s="68" t="s">
        <v>24</v>
      </c>
      <c r="E3" s="68" t="s">
        <v>27</v>
      </c>
      <c r="F3" s="68" t="s">
        <v>5</v>
      </c>
      <c r="G3" s="77" t="s">
        <v>44</v>
      </c>
      <c r="H3" s="206"/>
      <c r="I3" s="68" t="s">
        <v>26</v>
      </c>
      <c r="J3" s="68" t="s">
        <v>24</v>
      </c>
      <c r="K3" s="68" t="s">
        <v>27</v>
      </c>
      <c r="L3" s="68" t="s">
        <v>5</v>
      </c>
      <c r="M3" s="77" t="s">
        <v>44</v>
      </c>
      <c r="N3" s="206"/>
      <c r="O3" s="68" t="s">
        <v>26</v>
      </c>
      <c r="P3" s="68" t="s">
        <v>24</v>
      </c>
      <c r="Q3" s="68" t="s">
        <v>27</v>
      </c>
      <c r="R3" s="68" t="s">
        <v>5</v>
      </c>
      <c r="S3" s="77" t="s">
        <v>44</v>
      </c>
      <c r="T3" s="206"/>
      <c r="U3" s="68" t="s">
        <v>26</v>
      </c>
      <c r="V3" s="68" t="s">
        <v>24</v>
      </c>
      <c r="W3" s="68" t="s">
        <v>27</v>
      </c>
      <c r="X3" s="68" t="s">
        <v>5</v>
      </c>
      <c r="Y3" s="77" t="s">
        <v>44</v>
      </c>
      <c r="Z3" s="68" t="s">
        <v>26</v>
      </c>
      <c r="AA3" s="68" t="s">
        <v>24</v>
      </c>
      <c r="AB3" s="68" t="s">
        <v>27</v>
      </c>
      <c r="AC3" s="68" t="s">
        <v>5</v>
      </c>
      <c r="AD3" s="77" t="s">
        <v>44</v>
      </c>
    </row>
    <row r="4" spans="1:30" x14ac:dyDescent="0.3">
      <c r="A4" s="73">
        <v>261</v>
      </c>
      <c r="B4" s="70" t="s">
        <v>143</v>
      </c>
      <c r="C4" s="71">
        <v>3824</v>
      </c>
      <c r="D4" s="71" t="s">
        <v>168</v>
      </c>
      <c r="E4" s="71" t="s">
        <v>161</v>
      </c>
      <c r="F4" s="72">
        <v>45808</v>
      </c>
      <c r="G4" s="78" t="str">
        <f ca="1">IF(F4&lt;TODAY(),"VENCIDO",IF(F4=TODAY(),"VENCE HOY",IF(F4&gt;TODAY(),"")))</f>
        <v>VENCIDO</v>
      </c>
      <c r="H4" s="206"/>
      <c r="I4" s="71">
        <v>3824</v>
      </c>
      <c r="J4" s="71" t="s">
        <v>168</v>
      </c>
      <c r="K4" s="71" t="s">
        <v>161</v>
      </c>
      <c r="L4" s="72">
        <v>45808</v>
      </c>
      <c r="M4" s="78" t="str">
        <f ca="1">IF(L4&lt;TODAY(),"VENCIDO",IF(L4=TODAY(),"VENCE HOY",IF(L4&gt;TODAY(),"")))</f>
        <v>VENCIDO</v>
      </c>
      <c r="N4" s="206"/>
      <c r="O4" s="71">
        <v>3824</v>
      </c>
      <c r="P4" s="71" t="s">
        <v>168</v>
      </c>
      <c r="Q4" s="71" t="s">
        <v>161</v>
      </c>
      <c r="R4" s="72">
        <v>45808</v>
      </c>
      <c r="S4" s="78" t="str">
        <f ca="1">IF(R4&lt;TODAY(),"VENCIDO",IF(R4=TODAY(),"VENCE HOY",IF(R4&gt;TODAY(),"")))</f>
        <v>VENCIDO</v>
      </c>
      <c r="T4" s="206"/>
      <c r="U4" s="71">
        <v>3824</v>
      </c>
      <c r="V4" s="71" t="s">
        <v>168</v>
      </c>
      <c r="W4" s="71" t="s">
        <v>161</v>
      </c>
      <c r="X4" s="72">
        <v>45808</v>
      </c>
      <c r="Y4" s="78" t="str">
        <f ca="1">IF(X4&lt;TODAY(),"VENCIDO",IF(X4=TODAY(),"VENCE HOY",IF(X4&gt;TODAY(),"")))</f>
        <v>VENCIDO</v>
      </c>
      <c r="Z4" s="71">
        <v>1223</v>
      </c>
      <c r="AA4" s="71" t="s">
        <v>159</v>
      </c>
      <c r="AB4" s="71" t="s">
        <v>158</v>
      </c>
      <c r="AC4" s="72">
        <v>45687</v>
      </c>
      <c r="AD4" s="78" t="str">
        <f ca="1">IF(AC4&lt;TODAY(),"VENCIDO",IF(AC4=TODAY(),"VENCE HOY",IF(AC4&gt;TODAY(),"")))</f>
        <v>VENCIDO</v>
      </c>
    </row>
    <row r="5" spans="1:30" x14ac:dyDescent="0.3">
      <c r="A5" s="73">
        <v>262</v>
      </c>
      <c r="B5" s="70" t="s">
        <v>144</v>
      </c>
      <c r="C5" s="71">
        <v>2022</v>
      </c>
      <c r="D5" s="71" t="s">
        <v>159</v>
      </c>
      <c r="E5" s="71" t="s">
        <v>158</v>
      </c>
      <c r="F5" s="72">
        <v>45687</v>
      </c>
      <c r="G5" s="78" t="str">
        <f t="shared" ref="G5:G13" ca="1" si="0">IF(F5&lt;TODAY(),"VENCIDO",IF(F5=TODAY(),"VENCE HOY",IF(F5&gt;TODAY(),"")))</f>
        <v>VENCIDO</v>
      </c>
      <c r="H5" s="206"/>
      <c r="I5" s="71">
        <v>1223</v>
      </c>
      <c r="J5" s="71" t="s">
        <v>159</v>
      </c>
      <c r="K5" s="71" t="s">
        <v>158</v>
      </c>
      <c r="L5" s="72">
        <v>45687</v>
      </c>
      <c r="M5" s="78" t="str">
        <f t="shared" ref="M5:M13" ca="1" si="1">IF(L5&lt;TODAY(),"VENCIDO",IF(L5=TODAY(),"VENCE HOY",IF(L5&gt;TODAY(),"")))</f>
        <v>VENCIDO</v>
      </c>
      <c r="N5" s="206"/>
      <c r="O5" s="71">
        <v>4723</v>
      </c>
      <c r="P5" s="71" t="s">
        <v>157</v>
      </c>
      <c r="Q5" s="71" t="s">
        <v>158</v>
      </c>
      <c r="R5" s="72">
        <v>45687</v>
      </c>
      <c r="S5" s="78" t="str">
        <f t="shared" ref="S5:S13" ca="1" si="2">IF(R5&lt;TODAY(),"VENCIDO",IF(R5=TODAY(),"VENCE HOY",IF(R5&gt;TODAY(),"")))</f>
        <v>VENCIDO</v>
      </c>
      <c r="T5" s="206"/>
      <c r="U5" s="71">
        <v>4723</v>
      </c>
      <c r="V5" s="71" t="s">
        <v>157</v>
      </c>
      <c r="W5" s="71" t="s">
        <v>158</v>
      </c>
      <c r="X5" s="72">
        <v>45687</v>
      </c>
      <c r="Y5" s="78" t="str">
        <f t="shared" ref="Y5:Y13" ca="1" si="3">IF(X5&lt;TODAY(),"VENCIDO",IF(X5=TODAY(),"VENCE HOY",IF(X5&gt;TODAY(),"")))</f>
        <v>VENCIDO</v>
      </c>
      <c r="Z5" s="71">
        <v>1223</v>
      </c>
      <c r="AA5" s="71" t="s">
        <v>159</v>
      </c>
      <c r="AB5" s="71" t="s">
        <v>158</v>
      </c>
      <c r="AC5" s="72">
        <v>45687</v>
      </c>
      <c r="AD5" s="78" t="str">
        <f t="shared" ref="AD5:AD15" ca="1" si="4">IF(AC5&lt;TODAY(),"VENCIDO",IF(AC5=TODAY(),"VENCE HOY",IF(AC5&gt;TODAY(),"")))</f>
        <v>VENCIDO</v>
      </c>
    </row>
    <row r="6" spans="1:30" x14ac:dyDescent="0.3">
      <c r="A6" s="73">
        <v>263</v>
      </c>
      <c r="B6" s="70" t="s">
        <v>145</v>
      </c>
      <c r="C6" s="71">
        <v>3824</v>
      </c>
      <c r="D6" s="71" t="s">
        <v>168</v>
      </c>
      <c r="E6" s="71" t="s">
        <v>161</v>
      </c>
      <c r="F6" s="72">
        <v>45808</v>
      </c>
      <c r="G6" s="78" t="str">
        <f t="shared" ca="1" si="0"/>
        <v>VENCIDO</v>
      </c>
      <c r="H6" s="206"/>
      <c r="I6" s="71">
        <v>3824</v>
      </c>
      <c r="J6" s="71" t="s">
        <v>168</v>
      </c>
      <c r="K6" s="71" t="s">
        <v>161</v>
      </c>
      <c r="L6" s="72">
        <v>45808</v>
      </c>
      <c r="M6" s="78" t="str">
        <f t="shared" ca="1" si="1"/>
        <v>VENCIDO</v>
      </c>
      <c r="N6" s="206"/>
      <c r="O6" s="71">
        <v>3824</v>
      </c>
      <c r="P6" s="71" t="s">
        <v>168</v>
      </c>
      <c r="Q6" s="71" t="s">
        <v>161</v>
      </c>
      <c r="R6" s="72">
        <v>45808</v>
      </c>
      <c r="S6" s="78" t="str">
        <f t="shared" ca="1" si="2"/>
        <v>VENCIDO</v>
      </c>
      <c r="T6" s="206"/>
      <c r="U6" s="71">
        <v>3824</v>
      </c>
      <c r="V6" s="71" t="s">
        <v>168</v>
      </c>
      <c r="W6" s="71" t="s">
        <v>161</v>
      </c>
      <c r="X6" s="72">
        <v>45808</v>
      </c>
      <c r="Y6" s="78" t="str">
        <f t="shared" ca="1" si="3"/>
        <v>VENCIDO</v>
      </c>
      <c r="Z6" s="71">
        <v>1223</v>
      </c>
      <c r="AA6" s="71" t="s">
        <v>159</v>
      </c>
      <c r="AB6" s="71" t="s">
        <v>158</v>
      </c>
      <c r="AC6" s="72">
        <v>45687</v>
      </c>
      <c r="AD6" s="78" t="str">
        <f t="shared" ca="1" si="4"/>
        <v>VENCIDO</v>
      </c>
    </row>
    <row r="7" spans="1:30" x14ac:dyDescent="0.3">
      <c r="A7" s="73">
        <v>264</v>
      </c>
      <c r="B7" s="70" t="s">
        <v>146</v>
      </c>
      <c r="C7" s="71">
        <v>223</v>
      </c>
      <c r="D7" s="71" t="s">
        <v>162</v>
      </c>
      <c r="E7" s="71" t="s">
        <v>158</v>
      </c>
      <c r="F7" s="72">
        <v>45687</v>
      </c>
      <c r="G7" s="78" t="str">
        <f t="shared" ca="1" si="0"/>
        <v>VENCIDO</v>
      </c>
      <c r="H7" s="206"/>
      <c r="I7" s="71">
        <v>4323</v>
      </c>
      <c r="J7" s="71" t="s">
        <v>159</v>
      </c>
      <c r="K7" s="71" t="s">
        <v>158</v>
      </c>
      <c r="L7" s="72">
        <v>45687</v>
      </c>
      <c r="M7" s="78" t="str">
        <f t="shared" ca="1" si="1"/>
        <v>VENCIDO</v>
      </c>
      <c r="N7" s="206"/>
      <c r="O7" s="71">
        <v>223</v>
      </c>
      <c r="P7" s="71" t="s">
        <v>162</v>
      </c>
      <c r="Q7" s="71" t="s">
        <v>158</v>
      </c>
      <c r="R7" s="72">
        <v>45687</v>
      </c>
      <c r="S7" s="78" t="str">
        <f t="shared" ca="1" si="2"/>
        <v>VENCIDO</v>
      </c>
      <c r="T7" s="206"/>
      <c r="U7" s="71">
        <v>4323</v>
      </c>
      <c r="V7" s="71" t="s">
        <v>159</v>
      </c>
      <c r="W7" s="71" t="s">
        <v>158</v>
      </c>
      <c r="X7" s="72">
        <v>45687</v>
      </c>
      <c r="Y7" s="78" t="str">
        <f t="shared" ca="1" si="3"/>
        <v>VENCIDO</v>
      </c>
      <c r="Z7" s="71">
        <v>223</v>
      </c>
      <c r="AA7" s="71" t="s">
        <v>162</v>
      </c>
      <c r="AB7" s="71" t="s">
        <v>158</v>
      </c>
      <c r="AC7" s="72">
        <v>45687</v>
      </c>
      <c r="AD7" s="78" t="str">
        <f t="shared" ca="1" si="4"/>
        <v>VENCIDO</v>
      </c>
    </row>
    <row r="8" spans="1:30" x14ac:dyDescent="0.3">
      <c r="A8" s="73">
        <v>265</v>
      </c>
      <c r="B8" s="70" t="s">
        <v>147</v>
      </c>
      <c r="C8" s="71">
        <v>723</v>
      </c>
      <c r="D8" s="71" t="s">
        <v>162</v>
      </c>
      <c r="E8" s="71" t="s">
        <v>158</v>
      </c>
      <c r="F8" s="72">
        <v>45687</v>
      </c>
      <c r="G8" s="78" t="str">
        <f t="shared" ca="1" si="0"/>
        <v>VENCIDO</v>
      </c>
      <c r="H8" s="206"/>
      <c r="I8" s="71">
        <v>323</v>
      </c>
      <c r="J8" s="71" t="s">
        <v>162</v>
      </c>
      <c r="K8" s="71" t="s">
        <v>158</v>
      </c>
      <c r="L8" s="72">
        <v>45687</v>
      </c>
      <c r="M8" s="78" t="str">
        <f t="shared" ca="1" si="1"/>
        <v>VENCIDO</v>
      </c>
      <c r="N8" s="206"/>
      <c r="O8" s="71">
        <v>4723</v>
      </c>
      <c r="P8" s="71" t="s">
        <v>157</v>
      </c>
      <c r="Q8" s="71" t="s">
        <v>158</v>
      </c>
      <c r="R8" s="72">
        <v>45687</v>
      </c>
      <c r="S8" s="78" t="str">
        <f t="shared" ca="1" si="2"/>
        <v>VENCIDO</v>
      </c>
      <c r="T8" s="206"/>
      <c r="U8" s="71">
        <v>4723</v>
      </c>
      <c r="V8" s="71" t="s">
        <v>157</v>
      </c>
      <c r="W8" s="71" t="s">
        <v>158</v>
      </c>
      <c r="X8" s="72">
        <v>45687</v>
      </c>
      <c r="Y8" s="78" t="str">
        <f t="shared" ca="1" si="3"/>
        <v>VENCIDO</v>
      </c>
      <c r="Z8" s="71">
        <v>323</v>
      </c>
      <c r="AA8" s="71" t="s">
        <v>162</v>
      </c>
      <c r="AB8" s="71" t="s">
        <v>158</v>
      </c>
      <c r="AC8" s="72">
        <v>45687</v>
      </c>
      <c r="AD8" s="78" t="str">
        <f t="shared" ca="1" si="4"/>
        <v>VENCIDO</v>
      </c>
    </row>
    <row r="9" spans="1:30" x14ac:dyDescent="0.3">
      <c r="A9" s="73">
        <v>266</v>
      </c>
      <c r="B9" s="70" t="s">
        <v>148</v>
      </c>
      <c r="C9" s="71">
        <v>4323</v>
      </c>
      <c r="D9" s="71" t="s">
        <v>159</v>
      </c>
      <c r="E9" s="71" t="s">
        <v>158</v>
      </c>
      <c r="F9" s="72">
        <v>45687</v>
      </c>
      <c r="G9" s="78" t="str">
        <f t="shared" ca="1" si="0"/>
        <v>VENCIDO</v>
      </c>
      <c r="H9" s="206"/>
      <c r="I9" s="71">
        <v>4723</v>
      </c>
      <c r="J9" s="71" t="s">
        <v>159</v>
      </c>
      <c r="K9" s="71" t="s">
        <v>158</v>
      </c>
      <c r="L9" s="72">
        <v>45687</v>
      </c>
      <c r="M9" s="78" t="str">
        <f t="shared" ca="1" si="1"/>
        <v>VENCIDO</v>
      </c>
      <c r="N9" s="206"/>
      <c r="O9" s="71">
        <v>4723</v>
      </c>
      <c r="P9" s="71" t="s">
        <v>159</v>
      </c>
      <c r="Q9" s="71" t="s">
        <v>158</v>
      </c>
      <c r="R9" s="72">
        <v>45687</v>
      </c>
      <c r="S9" s="78" t="str">
        <f t="shared" ca="1" si="2"/>
        <v>VENCIDO</v>
      </c>
      <c r="T9" s="206"/>
      <c r="U9" s="71">
        <v>3723</v>
      </c>
      <c r="V9" s="71" t="s">
        <v>159</v>
      </c>
      <c r="W9" s="71" t="s">
        <v>158</v>
      </c>
      <c r="X9" s="72">
        <v>45687</v>
      </c>
      <c r="Y9" s="78" t="str">
        <f t="shared" ca="1" si="3"/>
        <v>VENCIDO</v>
      </c>
      <c r="Z9" s="71">
        <v>322</v>
      </c>
      <c r="AA9" s="71" t="s">
        <v>162</v>
      </c>
      <c r="AB9" s="71" t="s">
        <v>158</v>
      </c>
      <c r="AC9" s="72">
        <v>45687</v>
      </c>
      <c r="AD9" s="78" t="str">
        <f t="shared" ca="1" si="4"/>
        <v>VENCIDO</v>
      </c>
    </row>
    <row r="10" spans="1:30" x14ac:dyDescent="0.3">
      <c r="A10" s="73">
        <v>267</v>
      </c>
      <c r="B10" s="70" t="s">
        <v>149</v>
      </c>
      <c r="C10" s="71">
        <v>2124</v>
      </c>
      <c r="D10" s="71" t="s">
        <v>160</v>
      </c>
      <c r="E10" s="71" t="s">
        <v>161</v>
      </c>
      <c r="F10" s="72">
        <v>45687</v>
      </c>
      <c r="G10" s="78" t="str">
        <f t="shared" ca="1" si="0"/>
        <v>VENCIDO</v>
      </c>
      <c r="H10" s="206"/>
      <c r="I10" s="71">
        <v>1524</v>
      </c>
      <c r="J10" s="71" t="s">
        <v>160</v>
      </c>
      <c r="K10" s="71" t="s">
        <v>161</v>
      </c>
      <c r="L10" s="72">
        <v>45687</v>
      </c>
      <c r="M10" s="78" t="str">
        <f t="shared" ca="1" si="1"/>
        <v>VENCIDO</v>
      </c>
      <c r="N10" s="206"/>
      <c r="O10" s="71">
        <v>2224</v>
      </c>
      <c r="P10" s="71" t="s">
        <v>160</v>
      </c>
      <c r="Q10" s="71" t="s">
        <v>161</v>
      </c>
      <c r="R10" s="72">
        <v>45687</v>
      </c>
      <c r="S10" s="78" t="str">
        <f t="shared" ca="1" si="2"/>
        <v>VENCIDO</v>
      </c>
      <c r="T10" s="206"/>
      <c r="U10" s="71">
        <v>2224</v>
      </c>
      <c r="V10" s="71" t="s">
        <v>160</v>
      </c>
      <c r="W10" s="71" t="s">
        <v>161</v>
      </c>
      <c r="X10" s="72">
        <v>45687</v>
      </c>
      <c r="Y10" s="78" t="str">
        <f t="shared" ca="1" si="3"/>
        <v>VENCIDO</v>
      </c>
      <c r="Z10" s="71">
        <v>323</v>
      </c>
      <c r="AA10" s="71" t="s">
        <v>162</v>
      </c>
      <c r="AB10" s="71" t="s">
        <v>158</v>
      </c>
      <c r="AC10" s="72">
        <v>45321</v>
      </c>
      <c r="AD10" s="78" t="str">
        <f t="shared" ca="1" si="4"/>
        <v>VENCIDO</v>
      </c>
    </row>
    <row r="11" spans="1:30" x14ac:dyDescent="0.3">
      <c r="A11" s="81">
        <v>268</v>
      </c>
      <c r="B11" s="70" t="s">
        <v>150</v>
      </c>
      <c r="C11" s="71">
        <v>3824</v>
      </c>
      <c r="D11" s="71" t="s">
        <v>168</v>
      </c>
      <c r="E11" s="71" t="s">
        <v>161</v>
      </c>
      <c r="F11" s="72">
        <v>45875</v>
      </c>
      <c r="G11" s="78" t="str">
        <f t="shared" ca="1" si="0"/>
        <v>VENCIDO</v>
      </c>
      <c r="H11" s="206"/>
      <c r="I11" s="71">
        <v>3824</v>
      </c>
      <c r="J11" s="71" t="s">
        <v>168</v>
      </c>
      <c r="K11" s="71" t="s">
        <v>161</v>
      </c>
      <c r="L11" s="72">
        <v>45875</v>
      </c>
      <c r="M11" s="78" t="str">
        <f t="shared" ca="1" si="1"/>
        <v>VENCIDO</v>
      </c>
      <c r="N11" s="206"/>
      <c r="O11" s="71">
        <v>2124</v>
      </c>
      <c r="P11" s="71" t="s">
        <v>160</v>
      </c>
      <c r="Q11" s="71" t="s">
        <v>161</v>
      </c>
      <c r="R11" s="72">
        <v>45321</v>
      </c>
      <c r="S11" s="78" t="str">
        <f t="shared" ca="1" si="2"/>
        <v>VENCIDO</v>
      </c>
      <c r="T11" s="206"/>
      <c r="U11" s="71">
        <v>1524</v>
      </c>
      <c r="V11" s="71" t="s">
        <v>160</v>
      </c>
      <c r="W11" s="71" t="s">
        <v>161</v>
      </c>
      <c r="X11" s="72">
        <v>45687</v>
      </c>
      <c r="Y11" s="78" t="str">
        <f t="shared" ca="1" si="3"/>
        <v>VENCIDO</v>
      </c>
      <c r="Z11" s="71">
        <v>1223</v>
      </c>
      <c r="AA11" s="71" t="s">
        <v>159</v>
      </c>
      <c r="AB11" s="71" t="s">
        <v>158</v>
      </c>
      <c r="AC11" s="72">
        <v>45687</v>
      </c>
      <c r="AD11" s="78" t="str">
        <f t="shared" ca="1" si="4"/>
        <v>VENCIDO</v>
      </c>
    </row>
    <row r="12" spans="1:30" x14ac:dyDescent="0.3">
      <c r="A12" s="81">
        <v>271</v>
      </c>
      <c r="B12" s="82" t="s">
        <v>151</v>
      </c>
      <c r="C12" s="71">
        <v>3824</v>
      </c>
      <c r="D12" s="71" t="s">
        <v>168</v>
      </c>
      <c r="E12" s="71" t="s">
        <v>161</v>
      </c>
      <c r="F12" s="72">
        <v>45798</v>
      </c>
      <c r="G12" s="78" t="str">
        <f t="shared" ca="1" si="0"/>
        <v>VENCIDO</v>
      </c>
      <c r="H12" s="206"/>
      <c r="I12" s="71">
        <v>3824</v>
      </c>
      <c r="J12" s="71" t="s">
        <v>168</v>
      </c>
      <c r="K12" s="71" t="s">
        <v>161</v>
      </c>
      <c r="L12" s="72">
        <v>45798</v>
      </c>
      <c r="M12" s="78" t="str">
        <f t="shared" ca="1" si="1"/>
        <v>VENCIDO</v>
      </c>
      <c r="N12" s="206"/>
      <c r="O12" s="71">
        <v>3824</v>
      </c>
      <c r="P12" s="71" t="s">
        <v>168</v>
      </c>
      <c r="Q12" s="71" t="s">
        <v>161</v>
      </c>
      <c r="R12" s="72">
        <v>45798</v>
      </c>
      <c r="S12" s="78" t="str">
        <f t="shared" ca="1" si="2"/>
        <v>VENCIDO</v>
      </c>
      <c r="T12" s="206"/>
      <c r="U12" s="71">
        <v>3824</v>
      </c>
      <c r="V12" s="71" t="s">
        <v>168</v>
      </c>
      <c r="W12" s="71" t="s">
        <v>161</v>
      </c>
      <c r="X12" s="72">
        <v>45798</v>
      </c>
      <c r="Y12" s="78" t="str">
        <f t="shared" ca="1" si="3"/>
        <v>VENCIDO</v>
      </c>
      <c r="Z12" s="71">
        <v>4922</v>
      </c>
      <c r="AA12" s="71" t="s">
        <v>162</v>
      </c>
      <c r="AB12" s="71" t="s">
        <v>158</v>
      </c>
      <c r="AC12" s="72">
        <v>45687</v>
      </c>
      <c r="AD12" s="78" t="str">
        <f t="shared" ca="1" si="4"/>
        <v>VENCIDO</v>
      </c>
    </row>
    <row r="13" spans="1:30" x14ac:dyDescent="0.3">
      <c r="A13" s="69">
        <v>272</v>
      </c>
      <c r="B13" s="82" t="s">
        <v>152</v>
      </c>
      <c r="C13" s="71">
        <v>3824</v>
      </c>
      <c r="D13" s="71" t="s">
        <v>168</v>
      </c>
      <c r="E13" s="71" t="s">
        <v>161</v>
      </c>
      <c r="F13" s="72">
        <v>45875</v>
      </c>
      <c r="G13" s="78" t="str">
        <f t="shared" ca="1" si="0"/>
        <v>VENCIDO</v>
      </c>
      <c r="H13" s="206"/>
      <c r="I13" s="71">
        <v>3824</v>
      </c>
      <c r="J13" s="71" t="s">
        <v>168</v>
      </c>
      <c r="K13" s="71" t="s">
        <v>161</v>
      </c>
      <c r="L13" s="72">
        <v>45875</v>
      </c>
      <c r="M13" s="78" t="str">
        <f t="shared" ca="1" si="1"/>
        <v>VENCIDO</v>
      </c>
      <c r="N13" s="206"/>
      <c r="O13" s="71">
        <v>4723</v>
      </c>
      <c r="P13" s="71" t="s">
        <v>157</v>
      </c>
      <c r="Q13" s="71" t="s">
        <v>158</v>
      </c>
      <c r="R13" s="72">
        <v>45687</v>
      </c>
      <c r="S13" s="78" t="str">
        <f t="shared" ca="1" si="2"/>
        <v>VENCIDO</v>
      </c>
      <c r="T13" s="206"/>
      <c r="U13" s="71">
        <v>4723</v>
      </c>
      <c r="V13" s="71" t="s">
        <v>157</v>
      </c>
      <c r="W13" s="71" t="s">
        <v>158</v>
      </c>
      <c r="X13" s="72">
        <v>45687</v>
      </c>
      <c r="Y13" s="78" t="str">
        <f t="shared" ca="1" si="3"/>
        <v>VENCIDO</v>
      </c>
      <c r="Z13" s="71">
        <v>1223</v>
      </c>
      <c r="AA13" s="71" t="s">
        <v>159</v>
      </c>
      <c r="AB13" s="71" t="s">
        <v>158</v>
      </c>
      <c r="AC13" s="72">
        <v>45687</v>
      </c>
      <c r="AD13" s="78" t="str">
        <f t="shared" ca="1" si="4"/>
        <v>VENCIDO</v>
      </c>
    </row>
    <row r="14" spans="1:30" x14ac:dyDescent="0.3">
      <c r="A14" s="69">
        <v>282</v>
      </c>
      <c r="B14" s="70" t="s">
        <v>153</v>
      </c>
      <c r="C14" s="71"/>
      <c r="D14" s="71" t="s">
        <v>170</v>
      </c>
      <c r="E14" s="71" t="s">
        <v>171</v>
      </c>
      <c r="F14" s="72">
        <v>45829</v>
      </c>
      <c r="G14" s="78" t="str">
        <f t="shared" ref="G14:G15" ca="1" si="5">IF(F14&lt;TODAY(),"VENCIDO",IF(F14=TODAY(),"VENCE HOY",IF(F14&gt;TODAY(),"")))</f>
        <v>VENCIDO</v>
      </c>
      <c r="H14" s="74"/>
      <c r="I14" s="71"/>
      <c r="J14" s="71" t="s">
        <v>170</v>
      </c>
      <c r="K14" s="71" t="s">
        <v>171</v>
      </c>
      <c r="L14" s="72">
        <v>45829</v>
      </c>
      <c r="M14" s="78" t="str">
        <f t="shared" ref="M14:M15" ca="1" si="6">IF(L14&lt;TODAY(),"VENCIDO",IF(L14=TODAY(),"VENCE HOY",IF(L14&gt;TODAY(),"")))</f>
        <v>VENCIDO</v>
      </c>
      <c r="N14" s="74"/>
      <c r="O14" s="71"/>
      <c r="P14" s="71" t="s">
        <v>170</v>
      </c>
      <c r="Q14" s="71" t="s">
        <v>171</v>
      </c>
      <c r="R14" s="72">
        <v>45829</v>
      </c>
      <c r="S14" s="78" t="str">
        <f t="shared" ref="S14:S15" ca="1" si="7">IF(R14&lt;TODAY(),"VENCIDO",IF(R14=TODAY(),"VENCE HOY",IF(R14&gt;TODAY(),"")))</f>
        <v>VENCIDO</v>
      </c>
      <c r="T14" s="74"/>
      <c r="U14" s="71"/>
      <c r="V14" s="71" t="s">
        <v>170</v>
      </c>
      <c r="W14" s="71" t="s">
        <v>171</v>
      </c>
      <c r="X14" s="72">
        <v>45829</v>
      </c>
      <c r="Y14" s="78" t="str">
        <f t="shared" ref="Y14:Y15" ca="1" si="8">IF(X14&lt;TODAY(),"VENCIDO",IF(X14=TODAY(),"VENCE HOY",IF(X14&gt;TODAY(),"")))</f>
        <v>VENCIDO</v>
      </c>
      <c r="Z14" s="71"/>
      <c r="AA14" s="71" t="s">
        <v>163</v>
      </c>
      <c r="AB14" s="71" t="s">
        <v>164</v>
      </c>
      <c r="AC14" s="72">
        <v>45687</v>
      </c>
      <c r="AD14" s="78" t="str">
        <f t="shared" ca="1" si="4"/>
        <v>VENCIDO</v>
      </c>
    </row>
    <row r="15" spans="1:30" x14ac:dyDescent="0.3">
      <c r="A15" s="69">
        <v>283</v>
      </c>
      <c r="B15" s="70" t="s">
        <v>154</v>
      </c>
      <c r="C15" s="71"/>
      <c r="D15" s="71" t="s">
        <v>170</v>
      </c>
      <c r="E15" s="71" t="s">
        <v>171</v>
      </c>
      <c r="F15" s="72">
        <v>45822</v>
      </c>
      <c r="G15" s="78" t="str">
        <f t="shared" ca="1" si="5"/>
        <v>VENCIDO</v>
      </c>
      <c r="H15" s="74"/>
      <c r="I15" s="71"/>
      <c r="J15" s="71" t="s">
        <v>170</v>
      </c>
      <c r="K15" s="71" t="s">
        <v>171</v>
      </c>
      <c r="L15" s="72">
        <v>45822</v>
      </c>
      <c r="M15" s="78" t="str">
        <f t="shared" ca="1" si="6"/>
        <v>VENCIDO</v>
      </c>
      <c r="N15" s="74"/>
      <c r="O15" s="71"/>
      <c r="P15" s="71" t="s">
        <v>170</v>
      </c>
      <c r="Q15" s="71" t="s">
        <v>171</v>
      </c>
      <c r="R15" s="72">
        <v>45822</v>
      </c>
      <c r="S15" s="78" t="str">
        <f t="shared" ca="1" si="7"/>
        <v>VENCIDO</v>
      </c>
      <c r="T15" s="74"/>
      <c r="U15" s="71"/>
      <c r="V15" s="71" t="s">
        <v>170</v>
      </c>
      <c r="W15" s="71" t="s">
        <v>171</v>
      </c>
      <c r="X15" s="72">
        <v>45822</v>
      </c>
      <c r="Y15" s="78" t="str">
        <f t="shared" ca="1" si="8"/>
        <v>VENCIDO</v>
      </c>
      <c r="Z15" s="71"/>
      <c r="AA15" s="71" t="s">
        <v>163</v>
      </c>
      <c r="AB15" s="71" t="s">
        <v>164</v>
      </c>
      <c r="AC15" s="72">
        <v>45687</v>
      </c>
      <c r="AD15" s="78" t="str">
        <f t="shared" ca="1" si="4"/>
        <v>VENCIDO</v>
      </c>
    </row>
    <row r="16" spans="1:30" x14ac:dyDescent="0.3">
      <c r="A16" s="69">
        <v>311</v>
      </c>
      <c r="B16" s="70" t="s">
        <v>154</v>
      </c>
      <c r="C16" s="71"/>
      <c r="D16" s="71"/>
      <c r="E16" s="71"/>
      <c r="F16" s="72"/>
      <c r="G16" s="78" t="str">
        <f t="shared" ref="G16" ca="1" si="9">IF(F16&lt;TODAY(),"VENCIDO",IF(F16=TODAY(),"VENCE HOY",IF(F16&gt;TODAY(),"")))</f>
        <v>VENCIDO</v>
      </c>
      <c r="H16" s="74"/>
      <c r="I16" s="71"/>
      <c r="J16" s="71"/>
      <c r="K16" s="71"/>
      <c r="L16" s="72"/>
      <c r="M16" s="78" t="str">
        <f t="shared" ref="M16" ca="1" si="10">IF(L16&lt;TODAY(),"VENCIDO",IF(L16=TODAY(),"VENCE HOY",IF(L16&gt;TODAY(),"")))</f>
        <v>VENCIDO</v>
      </c>
      <c r="N16" s="74"/>
      <c r="O16" s="71"/>
      <c r="P16" s="71"/>
      <c r="Q16" s="71"/>
      <c r="R16" s="72"/>
      <c r="S16" s="78" t="str">
        <f t="shared" ref="S16" ca="1" si="11">IF(R16&lt;TODAY(),"VENCIDO",IF(R16=TODAY(),"VENCE HOY",IF(R16&gt;TODAY(),"")))</f>
        <v>VENCIDO</v>
      </c>
      <c r="T16" s="74"/>
      <c r="U16" s="71"/>
      <c r="V16" s="71"/>
      <c r="W16" s="71"/>
      <c r="X16" s="72"/>
      <c r="Y16" s="78" t="str">
        <f t="shared" ref="Y16" ca="1" si="12">IF(X16&lt;TODAY(),"VENCIDO",IF(X16=TODAY(),"VENCE HOY",IF(X16&gt;TODAY(),"")))</f>
        <v>VENCIDO</v>
      </c>
      <c r="Z16" s="71"/>
      <c r="AA16" s="71"/>
      <c r="AB16" s="71"/>
      <c r="AC16" s="72"/>
      <c r="AD16" s="78" t="str">
        <f t="shared" ref="AD16" ca="1" si="13">IF(AC16&lt;TODAY(),"VENCIDO",IF(AC16=TODAY(),"VENCE HOY",IF(AC16&gt;TODAY(),"")))</f>
        <v>VENCIDO</v>
      </c>
    </row>
  </sheetData>
  <sheetProtection algorithmName="SHA-512" hashValue="2GGPGmIfS58q9skWl201WLpNXXFpHV5wz4pmtbYy1J1DcQylMDT9MGc7mZ3TQYzLmQxEAmZUu6/dXx+cRyjLUw==" saltValue="vbwslzR0MNAzHYHyCiqBVg==" spinCount="100000" sheet="1" objects="1" scenarios="1"/>
  <mergeCells count="13">
    <mergeCell ref="O1:R1"/>
    <mergeCell ref="O2:R2"/>
    <mergeCell ref="H1:H13"/>
    <mergeCell ref="N1:N13"/>
    <mergeCell ref="C1:F1"/>
    <mergeCell ref="C2:F2"/>
    <mergeCell ref="I1:L1"/>
    <mergeCell ref="I2:L2"/>
    <mergeCell ref="U1:X1"/>
    <mergeCell ref="U2:X2"/>
    <mergeCell ref="Z1:AC1"/>
    <mergeCell ref="Z2:AC2"/>
    <mergeCell ref="T2:T13"/>
  </mergeCells>
  <conditionalFormatting sqref="G4:G16 M4:M16 S4:S16 Y4:Y16">
    <cfRule type="expression" dxfId="5" priority="12">
      <formula>$H4="VENCIDA"</formula>
    </cfRule>
  </conditionalFormatting>
  <conditionalFormatting sqref="G4:G16">
    <cfRule type="expression" dxfId="4" priority="8">
      <formula>$G4="VENCIDO"</formula>
    </cfRule>
  </conditionalFormatting>
  <conditionalFormatting sqref="M4:M16">
    <cfRule type="expression" dxfId="3" priority="7">
      <formula>$M4="VENCIDO"</formula>
    </cfRule>
  </conditionalFormatting>
  <conditionalFormatting sqref="S4:S16">
    <cfRule type="expression" dxfId="2" priority="6">
      <formula>$S4="VENCIDO"</formula>
    </cfRule>
  </conditionalFormatting>
  <conditionalFormatting sqref="Y4:Y16">
    <cfRule type="expression" dxfId="1" priority="5">
      <formula>$Y4="VENCIDO"</formula>
    </cfRule>
  </conditionalFormatting>
  <conditionalFormatting sqref="AD4:AD16">
    <cfRule type="expression" dxfId="0" priority="1">
      <formula>$AD4="VENCIDO"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2:Z23"/>
  <sheetViews>
    <sheetView zoomScale="70" zoomScaleNormal="70" workbookViewId="0">
      <selection activeCell="F7" sqref="F7"/>
    </sheetView>
  </sheetViews>
  <sheetFormatPr baseColWidth="10" defaultRowHeight="15" x14ac:dyDescent="0.25"/>
  <cols>
    <col min="2" max="2" width="13.5703125" bestFit="1" customWidth="1"/>
    <col min="3" max="3" width="12.85546875" bestFit="1" customWidth="1"/>
    <col min="4" max="4" width="11.140625" customWidth="1"/>
    <col min="5" max="5" width="12.85546875" bestFit="1" customWidth="1"/>
    <col min="6" max="7" width="12.85546875" customWidth="1"/>
  </cols>
  <sheetData>
    <row r="2" spans="1:26" s="9" customFormat="1" ht="42" customHeight="1" x14ac:dyDescent="0.25">
      <c r="C2" s="211" t="s">
        <v>46</v>
      </c>
      <c r="D2" s="211"/>
      <c r="E2" s="211"/>
      <c r="F2" s="211"/>
      <c r="G2" s="211"/>
      <c r="H2" s="211"/>
      <c r="I2" s="212" t="s">
        <v>47</v>
      </c>
      <c r="J2" s="212"/>
      <c r="K2" s="212"/>
      <c r="L2" s="212"/>
      <c r="M2" s="212"/>
      <c r="N2" s="212"/>
      <c r="O2" s="211" t="s">
        <v>48</v>
      </c>
      <c r="P2" s="211"/>
      <c r="Q2" s="211"/>
      <c r="R2" s="211"/>
      <c r="S2" s="211"/>
      <c r="T2" s="211"/>
      <c r="U2" s="212" t="s">
        <v>49</v>
      </c>
      <c r="V2" s="212"/>
      <c r="W2" s="212"/>
      <c r="X2" s="212"/>
      <c r="Y2" s="212"/>
      <c r="Z2" s="212"/>
    </row>
    <row r="3" spans="1:26" s="16" customFormat="1" ht="45" x14ac:dyDescent="0.25">
      <c r="A3" s="10" t="s">
        <v>0</v>
      </c>
      <c r="B3" s="11" t="s">
        <v>1</v>
      </c>
      <c r="C3" s="12" t="s">
        <v>121</v>
      </c>
      <c r="D3" s="12" t="s">
        <v>7</v>
      </c>
      <c r="E3" s="12" t="s">
        <v>18</v>
      </c>
      <c r="F3" s="12" t="s">
        <v>45</v>
      </c>
      <c r="G3" s="12" t="s">
        <v>7</v>
      </c>
      <c r="H3" s="13" t="s">
        <v>43</v>
      </c>
      <c r="I3" s="14" t="s">
        <v>121</v>
      </c>
      <c r="J3" s="14" t="s">
        <v>7</v>
      </c>
      <c r="K3" s="14" t="s">
        <v>18</v>
      </c>
      <c r="L3" s="14" t="s">
        <v>45</v>
      </c>
      <c r="M3" s="14" t="s">
        <v>7</v>
      </c>
      <c r="N3" s="15" t="s">
        <v>43</v>
      </c>
      <c r="O3" s="12" t="s">
        <v>121</v>
      </c>
      <c r="P3" s="12" t="s">
        <v>7</v>
      </c>
      <c r="Q3" s="12" t="s">
        <v>18</v>
      </c>
      <c r="R3" s="12" t="s">
        <v>45</v>
      </c>
      <c r="S3" s="12" t="s">
        <v>7</v>
      </c>
      <c r="T3" s="13" t="s">
        <v>43</v>
      </c>
      <c r="U3" s="14" t="s">
        <v>121</v>
      </c>
      <c r="V3" s="14" t="s">
        <v>7</v>
      </c>
      <c r="W3" s="14" t="s">
        <v>18</v>
      </c>
      <c r="X3" s="14" t="s">
        <v>45</v>
      </c>
      <c r="Y3" s="14" t="s">
        <v>7</v>
      </c>
      <c r="Z3" s="15" t="s">
        <v>43</v>
      </c>
    </row>
    <row r="4" spans="1:26" ht="28.5" customHeight="1" x14ac:dyDescent="0.25">
      <c r="A4" s="73">
        <v>176</v>
      </c>
      <c r="B4" s="70" t="s">
        <v>135</v>
      </c>
      <c r="C4" s="5"/>
      <c r="D4" s="5"/>
      <c r="E4" s="5"/>
      <c r="F4" s="5"/>
      <c r="G4" s="5"/>
      <c r="H4" s="5"/>
      <c r="I4" s="6"/>
      <c r="J4" s="6"/>
      <c r="K4" s="6"/>
      <c r="L4" s="6"/>
      <c r="M4" s="6"/>
      <c r="N4" s="6"/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</row>
    <row r="5" spans="1:26" ht="28.5" customHeight="1" x14ac:dyDescent="0.25">
      <c r="A5" s="73">
        <v>181</v>
      </c>
      <c r="B5" s="70" t="s">
        <v>136</v>
      </c>
      <c r="C5" s="5"/>
      <c r="D5" s="5"/>
      <c r="E5" s="5"/>
      <c r="F5" s="5"/>
      <c r="G5" s="5"/>
      <c r="H5" s="5"/>
      <c r="I5" s="6"/>
      <c r="J5" s="6"/>
      <c r="K5" s="6"/>
      <c r="L5" s="6"/>
      <c r="M5" s="6"/>
      <c r="N5" s="6"/>
      <c r="O5" s="5"/>
      <c r="P5" s="5"/>
      <c r="Q5" s="5"/>
      <c r="R5" s="5"/>
      <c r="S5" s="5"/>
      <c r="T5" s="5"/>
      <c r="U5" s="6"/>
      <c r="V5" s="6"/>
      <c r="W5" s="6"/>
      <c r="X5" s="6"/>
      <c r="Y5" s="6"/>
      <c r="Z5" s="6"/>
    </row>
    <row r="6" spans="1:26" ht="28.5" customHeight="1" x14ac:dyDescent="0.25">
      <c r="A6" s="73">
        <v>182</v>
      </c>
      <c r="B6" s="70" t="s">
        <v>137</v>
      </c>
      <c r="C6" s="5"/>
      <c r="D6" s="5"/>
      <c r="E6" s="5"/>
      <c r="F6" s="5"/>
      <c r="G6" s="5"/>
      <c r="H6" s="5"/>
      <c r="I6" s="6"/>
      <c r="J6" s="6"/>
      <c r="K6" s="6"/>
      <c r="L6" s="6"/>
      <c r="M6" s="6"/>
      <c r="N6" s="6"/>
      <c r="O6" s="5"/>
      <c r="P6" s="5"/>
      <c r="Q6" s="5"/>
      <c r="R6" s="5"/>
      <c r="S6" s="5"/>
      <c r="T6" s="5"/>
      <c r="U6" s="6"/>
      <c r="V6" s="6"/>
      <c r="W6" s="6"/>
      <c r="X6" s="6"/>
      <c r="Y6" s="6"/>
      <c r="Z6" s="6"/>
    </row>
    <row r="7" spans="1:26" ht="28.5" customHeight="1" x14ac:dyDescent="0.25">
      <c r="A7" s="73">
        <v>240</v>
      </c>
      <c r="B7" s="70" t="s">
        <v>138</v>
      </c>
      <c r="C7" s="5"/>
      <c r="D7" s="5"/>
      <c r="E7" s="5"/>
      <c r="F7" s="5"/>
      <c r="G7" s="5"/>
      <c r="H7" s="5"/>
      <c r="I7" s="6"/>
      <c r="J7" s="6"/>
      <c r="K7" s="6"/>
      <c r="L7" s="6"/>
      <c r="M7" s="6"/>
      <c r="N7" s="6"/>
      <c r="O7" s="5"/>
      <c r="P7" s="5"/>
      <c r="Q7" s="5"/>
      <c r="R7" s="5"/>
      <c r="S7" s="5"/>
      <c r="T7" s="5"/>
      <c r="U7" s="6"/>
      <c r="V7" s="6"/>
      <c r="W7" s="6"/>
      <c r="X7" s="6"/>
      <c r="Y7" s="6"/>
      <c r="Z7" s="6"/>
    </row>
    <row r="8" spans="1:26" ht="28.5" customHeight="1" x14ac:dyDescent="0.25">
      <c r="A8" s="73">
        <v>247</v>
      </c>
      <c r="B8" s="70" t="s">
        <v>139</v>
      </c>
      <c r="C8" s="5"/>
      <c r="D8" s="5"/>
      <c r="E8" s="5"/>
      <c r="F8" s="5"/>
      <c r="G8" s="5"/>
      <c r="H8" s="5"/>
      <c r="I8" s="6"/>
      <c r="J8" s="6"/>
      <c r="K8" s="6"/>
      <c r="L8" s="6"/>
      <c r="M8" s="6"/>
      <c r="N8" s="6"/>
      <c r="O8" s="5"/>
      <c r="P8" s="5"/>
      <c r="Q8" s="5"/>
      <c r="R8" s="5"/>
      <c r="S8" s="5"/>
      <c r="T8" s="5"/>
      <c r="U8" s="6"/>
      <c r="V8" s="6"/>
      <c r="W8" s="6"/>
      <c r="X8" s="6"/>
      <c r="Y8" s="6"/>
      <c r="Z8" s="6"/>
    </row>
    <row r="9" spans="1:26" ht="28.5" customHeight="1" x14ac:dyDescent="0.25">
      <c r="A9" s="73">
        <v>249</v>
      </c>
      <c r="B9" s="70" t="s">
        <v>140</v>
      </c>
      <c r="C9" s="5"/>
      <c r="D9" s="5"/>
      <c r="E9" s="5"/>
      <c r="F9" s="5"/>
      <c r="G9" s="5"/>
      <c r="H9" s="5"/>
      <c r="I9" s="6"/>
      <c r="J9" s="6"/>
      <c r="K9" s="6"/>
      <c r="L9" s="6"/>
      <c r="M9" s="6"/>
      <c r="N9" s="6"/>
      <c r="O9" s="5"/>
      <c r="P9" s="5"/>
      <c r="Q9" s="5"/>
      <c r="R9" s="5"/>
      <c r="S9" s="5"/>
      <c r="T9" s="5"/>
      <c r="U9" s="6"/>
      <c r="V9" s="6"/>
      <c r="W9" s="6"/>
      <c r="X9" s="6"/>
      <c r="Y9" s="6"/>
      <c r="Z9" s="6"/>
    </row>
    <row r="10" spans="1:26" ht="28.5" customHeight="1" x14ac:dyDescent="0.25">
      <c r="A10" s="73">
        <v>250</v>
      </c>
      <c r="B10" s="70" t="s">
        <v>141</v>
      </c>
      <c r="C10" s="5"/>
      <c r="D10" s="5"/>
      <c r="E10" s="5"/>
      <c r="F10" s="5"/>
      <c r="G10" s="5"/>
      <c r="H10" s="5"/>
      <c r="I10" s="6"/>
      <c r="J10" s="6"/>
      <c r="K10" s="6"/>
      <c r="L10" s="6"/>
      <c r="M10" s="6"/>
      <c r="N10" s="6"/>
      <c r="O10" s="5"/>
      <c r="P10" s="5"/>
      <c r="Q10" s="5"/>
      <c r="R10" s="5"/>
      <c r="S10" s="5"/>
      <c r="T10" s="5"/>
      <c r="U10" s="6"/>
      <c r="V10" s="6"/>
      <c r="W10" s="6"/>
      <c r="X10" s="6"/>
      <c r="Y10" s="6"/>
      <c r="Z10" s="6"/>
    </row>
    <row r="11" spans="1:26" ht="28.5" customHeight="1" x14ac:dyDescent="0.25">
      <c r="A11" s="81">
        <v>251</v>
      </c>
      <c r="B11" s="70" t="s">
        <v>142</v>
      </c>
      <c r="C11" s="5"/>
      <c r="D11" s="5"/>
      <c r="E11" s="5"/>
      <c r="F11" s="5"/>
      <c r="G11" s="5"/>
      <c r="H11" s="5"/>
      <c r="I11" s="6"/>
      <c r="J11" s="6"/>
      <c r="K11" s="6"/>
      <c r="L11" s="6"/>
      <c r="M11" s="6"/>
      <c r="N11" s="6"/>
      <c r="O11" s="5"/>
      <c r="P11" s="5"/>
      <c r="Q11" s="5"/>
      <c r="R11" s="5"/>
      <c r="S11" s="5"/>
      <c r="T11" s="5"/>
      <c r="U11" s="6"/>
      <c r="V11" s="6"/>
      <c r="W11" s="6"/>
      <c r="X11" s="6"/>
      <c r="Y11" s="6"/>
      <c r="Z11" s="6"/>
    </row>
    <row r="12" spans="1:26" ht="28.5" customHeight="1" x14ac:dyDescent="0.25">
      <c r="A12" s="81">
        <v>261</v>
      </c>
      <c r="B12" s="82" t="s">
        <v>143</v>
      </c>
      <c r="C12" s="5"/>
      <c r="D12" s="5"/>
      <c r="E12" s="5"/>
      <c r="F12" s="5"/>
      <c r="G12" s="5"/>
      <c r="H12" s="5"/>
      <c r="I12" s="6"/>
      <c r="J12" s="6"/>
      <c r="K12" s="6"/>
      <c r="L12" s="6"/>
      <c r="M12" s="6"/>
      <c r="N12" s="6"/>
      <c r="O12" s="5"/>
      <c r="P12" s="5"/>
      <c r="Q12" s="5"/>
      <c r="R12" s="5"/>
      <c r="S12" s="5"/>
      <c r="T12" s="5"/>
      <c r="U12" s="6"/>
      <c r="V12" s="6"/>
      <c r="W12" s="6"/>
      <c r="X12" s="6"/>
      <c r="Y12" s="6"/>
      <c r="Z12" s="6"/>
    </row>
    <row r="13" spans="1:26" ht="28.5" customHeight="1" x14ac:dyDescent="0.25">
      <c r="A13" s="69">
        <v>262</v>
      </c>
      <c r="B13" s="82" t="s">
        <v>144</v>
      </c>
      <c r="C13" s="5"/>
      <c r="D13" s="5"/>
      <c r="E13" s="5"/>
      <c r="F13" s="5"/>
      <c r="G13" s="5"/>
      <c r="H13" s="5"/>
      <c r="I13" s="6"/>
      <c r="J13" s="6"/>
      <c r="K13" s="6"/>
      <c r="L13" s="6"/>
      <c r="M13" s="6"/>
      <c r="N13" s="6"/>
      <c r="O13" s="5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</row>
    <row r="14" spans="1:26" ht="28.5" customHeight="1" x14ac:dyDescent="0.25">
      <c r="A14" s="69">
        <v>263</v>
      </c>
      <c r="B14" s="70" t="s">
        <v>145</v>
      </c>
      <c r="C14" s="5"/>
      <c r="D14" s="5"/>
      <c r="E14" s="5"/>
      <c r="F14" s="5"/>
      <c r="G14" s="5"/>
      <c r="H14" s="5"/>
      <c r="I14" s="6"/>
      <c r="J14" s="6"/>
      <c r="K14" s="6"/>
      <c r="L14" s="6"/>
      <c r="M14" s="6"/>
      <c r="N14" s="6"/>
      <c r="O14" s="5"/>
      <c r="P14" s="5"/>
      <c r="Q14" s="5"/>
      <c r="R14" s="5"/>
      <c r="S14" s="5"/>
      <c r="T14" s="5"/>
      <c r="U14" s="6"/>
      <c r="V14" s="6"/>
      <c r="W14" s="6"/>
      <c r="X14" s="6"/>
      <c r="Y14" s="6"/>
      <c r="Z14" s="6"/>
    </row>
    <row r="15" spans="1:26" ht="28.5" customHeight="1" x14ac:dyDescent="0.25">
      <c r="A15" s="73">
        <v>264</v>
      </c>
      <c r="B15" s="70" t="s">
        <v>146</v>
      </c>
      <c r="C15" s="5"/>
      <c r="D15" s="5"/>
      <c r="E15" s="5"/>
      <c r="F15" s="5"/>
      <c r="G15" s="5"/>
      <c r="H15" s="5"/>
      <c r="I15" s="6"/>
      <c r="J15" s="6"/>
      <c r="K15" s="6"/>
      <c r="L15" s="6"/>
      <c r="M15" s="6"/>
      <c r="N15" s="6"/>
      <c r="O15" s="5"/>
      <c r="P15" s="5"/>
      <c r="Q15" s="5"/>
      <c r="R15" s="5"/>
      <c r="S15" s="5"/>
      <c r="T15" s="5"/>
      <c r="U15" s="6"/>
      <c r="V15" s="6"/>
      <c r="W15" s="6"/>
      <c r="X15" s="6"/>
      <c r="Y15" s="6"/>
      <c r="Z15" s="6"/>
    </row>
    <row r="16" spans="1:26" ht="28.5" customHeight="1" x14ac:dyDescent="0.25">
      <c r="A16" s="73">
        <v>265</v>
      </c>
      <c r="B16" s="70" t="s">
        <v>147</v>
      </c>
      <c r="C16" s="5"/>
      <c r="D16" s="5"/>
      <c r="E16" s="5"/>
      <c r="F16" s="5"/>
      <c r="G16" s="5"/>
      <c r="H16" s="5"/>
      <c r="I16" s="6"/>
      <c r="J16" s="6"/>
      <c r="K16" s="6"/>
      <c r="L16" s="6"/>
      <c r="M16" s="6"/>
      <c r="N16" s="6"/>
      <c r="O16" s="5"/>
      <c r="P16" s="5"/>
      <c r="Q16" s="5"/>
      <c r="R16" s="5"/>
      <c r="S16" s="5"/>
      <c r="T16" s="5"/>
      <c r="U16" s="6"/>
      <c r="V16" s="6"/>
      <c r="W16" s="6"/>
      <c r="X16" s="6"/>
      <c r="Y16" s="6"/>
      <c r="Z16" s="6"/>
    </row>
    <row r="17" spans="1:26" ht="28.5" customHeight="1" x14ac:dyDescent="0.25">
      <c r="A17" s="73">
        <v>266</v>
      </c>
      <c r="B17" s="70" t="s">
        <v>148</v>
      </c>
      <c r="C17" s="5"/>
      <c r="D17" s="5"/>
      <c r="E17" s="5"/>
      <c r="F17" s="5"/>
      <c r="G17" s="5"/>
      <c r="H17" s="5"/>
      <c r="I17" s="6"/>
      <c r="J17" s="6"/>
      <c r="K17" s="6"/>
      <c r="L17" s="6"/>
      <c r="M17" s="6"/>
      <c r="N17" s="6"/>
      <c r="O17" s="5"/>
      <c r="P17" s="5"/>
      <c r="Q17" s="5"/>
      <c r="R17" s="5"/>
      <c r="S17" s="5"/>
      <c r="T17" s="5"/>
      <c r="U17" s="6"/>
      <c r="V17" s="6"/>
      <c r="W17" s="6"/>
      <c r="X17" s="6"/>
      <c r="Y17" s="6"/>
      <c r="Z17" s="6"/>
    </row>
    <row r="18" spans="1:26" ht="28.5" customHeight="1" x14ac:dyDescent="0.25">
      <c r="A18" s="73">
        <v>267</v>
      </c>
      <c r="B18" s="70" t="s">
        <v>149</v>
      </c>
      <c r="C18" s="5"/>
      <c r="D18" s="5"/>
      <c r="E18" s="5"/>
      <c r="F18" s="5"/>
      <c r="G18" s="5"/>
      <c r="H18" s="5"/>
      <c r="I18" s="6"/>
      <c r="J18" s="6"/>
      <c r="K18" s="6"/>
      <c r="L18" s="6"/>
      <c r="M18" s="6"/>
      <c r="N18" s="6"/>
      <c r="O18" s="5"/>
      <c r="P18" s="5"/>
      <c r="Q18" s="5"/>
      <c r="R18" s="5"/>
      <c r="S18" s="5"/>
      <c r="T18" s="5"/>
      <c r="U18" s="6"/>
      <c r="V18" s="6"/>
      <c r="W18" s="6"/>
      <c r="X18" s="6"/>
      <c r="Y18" s="6"/>
      <c r="Z18" s="6"/>
    </row>
    <row r="19" spans="1:26" ht="28.5" customHeight="1" x14ac:dyDescent="0.25">
      <c r="A19" s="73">
        <v>268</v>
      </c>
      <c r="B19" s="70" t="s">
        <v>150</v>
      </c>
      <c r="C19" s="5"/>
      <c r="D19" s="5"/>
      <c r="E19" s="5"/>
      <c r="F19" s="5"/>
      <c r="G19" s="5"/>
      <c r="H19" s="5"/>
      <c r="I19" s="6"/>
      <c r="J19" s="6"/>
      <c r="K19" s="6"/>
      <c r="L19" s="6"/>
      <c r="M19" s="6"/>
      <c r="N19" s="6"/>
      <c r="O19" s="5"/>
      <c r="P19" s="5"/>
      <c r="Q19" s="5"/>
      <c r="R19" s="5"/>
      <c r="S19" s="5"/>
      <c r="T19" s="5"/>
      <c r="U19" s="6"/>
      <c r="V19" s="6"/>
      <c r="W19" s="6"/>
      <c r="X19" s="6"/>
      <c r="Y19" s="6"/>
      <c r="Z19" s="6"/>
    </row>
    <row r="20" spans="1:26" ht="28.5" customHeight="1" x14ac:dyDescent="0.25">
      <c r="A20" s="73">
        <v>271</v>
      </c>
      <c r="B20" s="70" t="s">
        <v>151</v>
      </c>
      <c r="C20" s="5"/>
      <c r="D20" s="5"/>
      <c r="E20" s="5"/>
      <c r="F20" s="5"/>
      <c r="G20" s="5"/>
      <c r="H20" s="5"/>
      <c r="I20" s="6"/>
      <c r="J20" s="6"/>
      <c r="K20" s="6"/>
      <c r="L20" s="6"/>
      <c r="M20" s="6"/>
      <c r="N20" s="6"/>
      <c r="O20" s="5"/>
      <c r="P20" s="5"/>
      <c r="Q20" s="5"/>
      <c r="R20" s="5"/>
      <c r="S20" s="5"/>
      <c r="T20" s="5"/>
      <c r="U20" s="6"/>
      <c r="V20" s="6"/>
      <c r="W20" s="6"/>
      <c r="X20" s="6"/>
      <c r="Y20" s="6"/>
      <c r="Z20" s="6"/>
    </row>
    <row r="21" spans="1:26" ht="28.5" customHeight="1" x14ac:dyDescent="0.25">
      <c r="A21" s="73">
        <v>272</v>
      </c>
      <c r="B21" s="70" t="s">
        <v>152</v>
      </c>
      <c r="C21" s="5"/>
      <c r="D21" s="5"/>
      <c r="E21" s="5"/>
      <c r="F21" s="5"/>
      <c r="G21" s="5"/>
      <c r="H21" s="5"/>
      <c r="I21" s="6"/>
      <c r="J21" s="6"/>
      <c r="K21" s="6"/>
      <c r="L21" s="6"/>
      <c r="M21" s="6"/>
      <c r="N21" s="6"/>
      <c r="O21" s="5"/>
      <c r="P21" s="5"/>
      <c r="Q21" s="5"/>
      <c r="R21" s="5"/>
      <c r="S21" s="5"/>
      <c r="T21" s="5"/>
      <c r="U21" s="6"/>
      <c r="V21" s="6"/>
      <c r="W21" s="6"/>
      <c r="X21" s="6"/>
      <c r="Y21" s="6"/>
      <c r="Z21" s="6"/>
    </row>
    <row r="22" spans="1:26" ht="28.5" customHeight="1" x14ac:dyDescent="0.25">
      <c r="A22" s="73">
        <v>282</v>
      </c>
      <c r="B22" s="70" t="s">
        <v>153</v>
      </c>
      <c r="C22" s="5"/>
      <c r="D22" s="5"/>
      <c r="E22" s="5"/>
      <c r="F22" s="5"/>
      <c r="G22" s="5"/>
      <c r="H22" s="5"/>
      <c r="I22" s="6"/>
      <c r="J22" s="6"/>
      <c r="K22" s="6"/>
      <c r="L22" s="6"/>
      <c r="M22" s="6"/>
      <c r="N22" s="6"/>
      <c r="O22" s="5"/>
      <c r="P22" s="5"/>
      <c r="Q22" s="5"/>
      <c r="R22" s="5"/>
      <c r="S22" s="5"/>
      <c r="T22" s="5"/>
      <c r="U22" s="6"/>
      <c r="V22" s="6"/>
      <c r="W22" s="6"/>
      <c r="X22" s="6"/>
      <c r="Y22" s="6"/>
      <c r="Z22" s="6"/>
    </row>
    <row r="23" spans="1:26" ht="28.5" customHeight="1" x14ac:dyDescent="0.25">
      <c r="A23" s="73">
        <v>283</v>
      </c>
      <c r="B23" s="70" t="s">
        <v>154</v>
      </c>
      <c r="C23" s="5"/>
      <c r="D23" s="5"/>
      <c r="E23" s="5"/>
      <c r="F23" s="5"/>
      <c r="G23" s="5"/>
      <c r="H23" s="5"/>
      <c r="I23" s="6"/>
      <c r="J23" s="6"/>
      <c r="K23" s="6"/>
      <c r="L23" s="6"/>
      <c r="M23" s="6"/>
      <c r="N23" s="6"/>
      <c r="O23" s="5"/>
      <c r="P23" s="5"/>
      <c r="Q23" s="5"/>
      <c r="R23" s="5"/>
      <c r="S23" s="5"/>
      <c r="T23" s="5"/>
      <c r="U23" s="6"/>
      <c r="V23" s="6"/>
      <c r="W23" s="6"/>
      <c r="X23" s="6"/>
      <c r="Y23" s="6"/>
      <c r="Z23" s="6"/>
    </row>
  </sheetData>
  <mergeCells count="4">
    <mergeCell ref="O2:T2"/>
    <mergeCell ref="U2:Z2"/>
    <mergeCell ref="C2:H2"/>
    <mergeCell ref="I2:N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 tint="0.39997558519241921"/>
  </sheetPr>
  <dimension ref="A2:Z23"/>
  <sheetViews>
    <sheetView zoomScale="70" zoomScaleNormal="70" workbookViewId="0">
      <selection activeCell="D13" sqref="D13"/>
    </sheetView>
  </sheetViews>
  <sheetFormatPr baseColWidth="10" defaultRowHeight="15" x14ac:dyDescent="0.25"/>
  <cols>
    <col min="2" max="2" width="13.5703125" bestFit="1" customWidth="1"/>
  </cols>
  <sheetData>
    <row r="2" spans="1:26" s="17" customFormat="1" ht="39" customHeight="1" x14ac:dyDescent="0.25">
      <c r="C2" s="214" t="s">
        <v>50</v>
      </c>
      <c r="D2" s="214"/>
      <c r="E2" s="214"/>
      <c r="F2" s="214"/>
      <c r="G2" s="214"/>
      <c r="H2" s="214"/>
      <c r="I2" s="213" t="s">
        <v>51</v>
      </c>
      <c r="J2" s="213"/>
      <c r="K2" s="213"/>
      <c r="L2" s="213"/>
      <c r="M2" s="213"/>
      <c r="N2" s="213"/>
      <c r="O2" s="214" t="s">
        <v>52</v>
      </c>
      <c r="P2" s="214"/>
      <c r="Q2" s="214"/>
      <c r="R2" s="214"/>
      <c r="S2" s="214"/>
      <c r="T2" s="214"/>
      <c r="U2" s="213" t="s">
        <v>53</v>
      </c>
      <c r="V2" s="213"/>
      <c r="W2" s="213"/>
      <c r="X2" s="213"/>
      <c r="Y2" s="213"/>
      <c r="Z2" s="213"/>
    </row>
    <row r="3" spans="1:26" s="16" customFormat="1" ht="27.75" customHeight="1" x14ac:dyDescent="0.25">
      <c r="A3" s="10" t="s">
        <v>0</v>
      </c>
      <c r="B3" s="11" t="s">
        <v>1</v>
      </c>
      <c r="C3" s="12" t="s">
        <v>7</v>
      </c>
      <c r="D3" s="12" t="s">
        <v>18</v>
      </c>
      <c r="E3" s="12" t="s">
        <v>45</v>
      </c>
      <c r="F3" s="12" t="s">
        <v>7</v>
      </c>
      <c r="G3" s="12" t="s">
        <v>6</v>
      </c>
      <c r="H3" s="13" t="s">
        <v>43</v>
      </c>
      <c r="I3" s="14" t="s">
        <v>7</v>
      </c>
      <c r="J3" s="14" t="s">
        <v>18</v>
      </c>
      <c r="K3" s="14" t="s">
        <v>45</v>
      </c>
      <c r="L3" s="14" t="s">
        <v>7</v>
      </c>
      <c r="M3" s="14" t="s">
        <v>6</v>
      </c>
      <c r="N3" s="15" t="s">
        <v>43</v>
      </c>
      <c r="O3" s="12" t="s">
        <v>7</v>
      </c>
      <c r="P3" s="12" t="s">
        <v>18</v>
      </c>
      <c r="Q3" s="12" t="s">
        <v>45</v>
      </c>
      <c r="R3" s="12" t="s">
        <v>7</v>
      </c>
      <c r="S3" s="12" t="s">
        <v>6</v>
      </c>
      <c r="T3" s="13" t="s">
        <v>43</v>
      </c>
      <c r="U3" s="14" t="s">
        <v>7</v>
      </c>
      <c r="V3" s="14" t="s">
        <v>18</v>
      </c>
      <c r="W3" s="14" t="s">
        <v>45</v>
      </c>
      <c r="X3" s="14" t="s">
        <v>7</v>
      </c>
      <c r="Y3" s="14" t="s">
        <v>6</v>
      </c>
      <c r="Z3" s="15" t="s">
        <v>43</v>
      </c>
    </row>
    <row r="4" spans="1:26" ht="27.75" customHeight="1" x14ac:dyDescent="0.25">
      <c r="A4" s="73">
        <v>176</v>
      </c>
      <c r="B4" s="70" t="s">
        <v>135</v>
      </c>
      <c r="C4" s="131">
        <v>45685</v>
      </c>
      <c r="D4" s="1">
        <v>65014</v>
      </c>
      <c r="E4" s="1">
        <v>65014</v>
      </c>
      <c r="F4" s="131">
        <v>45687</v>
      </c>
      <c r="G4" s="1"/>
      <c r="H4" s="1" t="s">
        <v>155</v>
      </c>
      <c r="I4" s="6"/>
      <c r="J4" s="6"/>
      <c r="K4" s="6"/>
      <c r="L4" s="6"/>
      <c r="M4" s="6"/>
      <c r="N4" s="6"/>
      <c r="O4" s="1"/>
      <c r="P4" s="1"/>
      <c r="Q4" s="1"/>
      <c r="R4" s="1"/>
      <c r="S4" s="1"/>
      <c r="T4" s="1"/>
      <c r="U4" s="6"/>
      <c r="V4" s="6"/>
      <c r="W4" s="6"/>
      <c r="X4" s="6"/>
      <c r="Y4" s="6"/>
      <c r="Z4" s="6"/>
    </row>
    <row r="5" spans="1:26" ht="27.75" customHeight="1" x14ac:dyDescent="0.25">
      <c r="A5" s="73">
        <v>181</v>
      </c>
      <c r="B5" s="70" t="s">
        <v>136</v>
      </c>
      <c r="C5" s="1"/>
      <c r="D5" s="1"/>
      <c r="E5" s="1"/>
      <c r="F5" s="1"/>
      <c r="G5" s="1"/>
      <c r="H5" s="1"/>
      <c r="I5" s="132">
        <v>45584</v>
      </c>
      <c r="J5" s="6">
        <v>57860</v>
      </c>
      <c r="K5" s="6"/>
      <c r="L5" s="6"/>
      <c r="M5" s="6"/>
      <c r="N5" s="6" t="s">
        <v>111</v>
      </c>
      <c r="O5" s="1"/>
      <c r="P5" s="1"/>
      <c r="Q5" s="1"/>
      <c r="R5" s="1"/>
      <c r="S5" s="1"/>
      <c r="T5" s="1"/>
      <c r="U5" s="6"/>
      <c r="V5" s="6"/>
      <c r="W5" s="6"/>
      <c r="X5" s="6"/>
      <c r="Y5" s="6"/>
      <c r="Z5" s="6"/>
    </row>
    <row r="6" spans="1:26" ht="27.75" customHeight="1" x14ac:dyDescent="0.25">
      <c r="A6" s="73">
        <v>182</v>
      </c>
      <c r="B6" s="70" t="s">
        <v>137</v>
      </c>
      <c r="C6" s="1"/>
      <c r="D6" s="1"/>
      <c r="E6" s="1"/>
      <c r="F6" s="1"/>
      <c r="G6" s="1"/>
      <c r="H6" s="1"/>
      <c r="I6" s="6"/>
      <c r="J6" s="6"/>
      <c r="K6" s="6"/>
      <c r="L6" s="6"/>
      <c r="M6" s="6"/>
      <c r="N6" s="6"/>
      <c r="O6" s="1"/>
      <c r="P6" s="1"/>
      <c r="Q6" s="1"/>
      <c r="R6" s="1"/>
      <c r="S6" s="1"/>
      <c r="T6" s="1"/>
      <c r="U6" s="6"/>
      <c r="V6" s="6"/>
      <c r="W6" s="6"/>
      <c r="X6" s="6"/>
      <c r="Y6" s="6"/>
      <c r="Z6" s="6"/>
    </row>
    <row r="7" spans="1:26" ht="27.75" customHeight="1" x14ac:dyDescent="0.25">
      <c r="A7" s="73">
        <v>240</v>
      </c>
      <c r="B7" s="70" t="s">
        <v>138</v>
      </c>
      <c r="C7" s="1"/>
      <c r="D7" s="1"/>
      <c r="E7" s="1"/>
      <c r="F7" s="1"/>
      <c r="G7" s="1"/>
      <c r="H7" s="1"/>
      <c r="I7" s="6"/>
      <c r="J7" s="6"/>
      <c r="K7" s="6"/>
      <c r="L7" s="6"/>
      <c r="M7" s="6"/>
      <c r="N7" s="6"/>
      <c r="O7" s="1"/>
      <c r="P7" s="1"/>
      <c r="Q7" s="1"/>
      <c r="R7" s="1"/>
      <c r="S7" s="1"/>
      <c r="T7" s="1"/>
      <c r="U7" s="6"/>
      <c r="V7" s="6"/>
      <c r="W7" s="6"/>
      <c r="X7" s="6"/>
      <c r="Y7" s="6"/>
      <c r="Z7" s="6"/>
    </row>
    <row r="8" spans="1:26" ht="27.75" customHeight="1" x14ac:dyDescent="0.25">
      <c r="A8" s="73">
        <v>247</v>
      </c>
      <c r="B8" s="70" t="s">
        <v>139</v>
      </c>
      <c r="C8" s="1"/>
      <c r="D8" s="1"/>
      <c r="E8" s="1"/>
      <c r="F8" s="1"/>
      <c r="G8" s="1"/>
      <c r="H8" s="1"/>
      <c r="I8" s="6"/>
      <c r="J8" s="6"/>
      <c r="K8" s="6"/>
      <c r="L8" s="6"/>
      <c r="M8" s="6"/>
      <c r="N8" s="6"/>
      <c r="O8" s="1"/>
      <c r="P8" s="1"/>
      <c r="Q8" s="1"/>
      <c r="R8" s="1"/>
      <c r="S8" s="1"/>
      <c r="T8" s="1"/>
      <c r="U8" s="6"/>
      <c r="V8" s="6"/>
      <c r="W8" s="6"/>
      <c r="X8" s="6"/>
      <c r="Y8" s="6"/>
      <c r="Z8" s="6"/>
    </row>
    <row r="9" spans="1:26" ht="27.75" customHeight="1" x14ac:dyDescent="0.25">
      <c r="A9" s="73">
        <v>249</v>
      </c>
      <c r="B9" s="70" t="s">
        <v>140</v>
      </c>
      <c r="C9" s="1"/>
      <c r="D9" s="1"/>
      <c r="E9" s="1"/>
      <c r="F9" s="1"/>
      <c r="G9" s="1"/>
      <c r="H9" s="1"/>
      <c r="I9" s="6"/>
      <c r="J9" s="6"/>
      <c r="K9" s="6"/>
      <c r="L9" s="6"/>
      <c r="M9" s="6"/>
      <c r="N9" s="6"/>
      <c r="O9" s="1"/>
      <c r="P9" s="1"/>
      <c r="Q9" s="1"/>
      <c r="R9" s="1"/>
      <c r="S9" s="1"/>
      <c r="T9" s="1"/>
      <c r="U9" s="6"/>
      <c r="V9" s="6"/>
      <c r="W9" s="6"/>
      <c r="X9" s="6"/>
      <c r="Y9" s="6"/>
      <c r="Z9" s="6"/>
    </row>
    <row r="10" spans="1:26" ht="27.75" customHeight="1" x14ac:dyDescent="0.25">
      <c r="A10" s="73">
        <v>250</v>
      </c>
      <c r="B10" s="70" t="s">
        <v>141</v>
      </c>
      <c r="C10" s="1"/>
      <c r="D10" s="1"/>
      <c r="E10" s="1"/>
      <c r="F10" s="1"/>
      <c r="G10" s="1"/>
      <c r="H10" s="1"/>
      <c r="I10" s="6"/>
      <c r="J10" s="6"/>
      <c r="K10" s="6"/>
      <c r="L10" s="6"/>
      <c r="M10" s="6"/>
      <c r="N10" s="6"/>
      <c r="O10" s="1"/>
      <c r="P10" s="1"/>
      <c r="Q10" s="1"/>
      <c r="R10" s="1"/>
      <c r="S10" s="1"/>
      <c r="T10" s="1"/>
      <c r="U10" s="6"/>
      <c r="V10" s="6"/>
      <c r="W10" s="6"/>
      <c r="X10" s="6"/>
      <c r="Y10" s="6"/>
      <c r="Z10" s="6"/>
    </row>
    <row r="11" spans="1:26" ht="27.75" customHeight="1" x14ac:dyDescent="0.25">
      <c r="A11" s="81">
        <v>251</v>
      </c>
      <c r="B11" s="70" t="s">
        <v>142</v>
      </c>
      <c r="C11" s="1"/>
      <c r="D11" s="1"/>
      <c r="E11" s="1"/>
      <c r="F11" s="1"/>
      <c r="G11" s="1"/>
      <c r="H11" s="1"/>
      <c r="I11" s="6"/>
      <c r="J11" s="6"/>
      <c r="K11" s="6"/>
      <c r="L11" s="6"/>
      <c r="M11" s="6"/>
      <c r="N11" s="6"/>
      <c r="O11" s="1"/>
      <c r="P11" s="1"/>
      <c r="Q11" s="1"/>
      <c r="R11" s="1"/>
      <c r="S11" s="1"/>
      <c r="T11" s="1"/>
      <c r="U11" s="6"/>
      <c r="V11" s="6"/>
      <c r="W11" s="6"/>
      <c r="X11" s="6"/>
      <c r="Y11" s="6"/>
      <c r="Z11" s="6"/>
    </row>
    <row r="12" spans="1:26" ht="27.75" customHeight="1" x14ac:dyDescent="0.25">
      <c r="A12" s="81">
        <v>261</v>
      </c>
      <c r="B12" s="82" t="s">
        <v>143</v>
      </c>
      <c r="C12" s="1"/>
      <c r="D12" s="1"/>
      <c r="E12" s="1"/>
      <c r="F12" s="1"/>
      <c r="G12" s="1"/>
      <c r="H12" s="1"/>
      <c r="I12" s="6"/>
      <c r="J12" s="6"/>
      <c r="K12" s="6"/>
      <c r="L12" s="6"/>
      <c r="M12" s="6"/>
      <c r="N12" s="6"/>
      <c r="O12" s="1"/>
      <c r="P12" s="1"/>
      <c r="Q12" s="1"/>
      <c r="R12" s="1"/>
      <c r="S12" s="1"/>
      <c r="T12" s="1"/>
      <c r="U12" s="6"/>
      <c r="V12" s="6"/>
      <c r="W12" s="6"/>
      <c r="X12" s="6"/>
      <c r="Y12" s="6"/>
      <c r="Z12" s="6"/>
    </row>
    <row r="13" spans="1:26" ht="27.75" customHeight="1" x14ac:dyDescent="0.25">
      <c r="A13" s="69">
        <v>262</v>
      </c>
      <c r="B13" s="82" t="s">
        <v>144</v>
      </c>
      <c r="C13" s="1"/>
      <c r="D13" s="1"/>
      <c r="E13" s="1"/>
      <c r="F13" s="1"/>
      <c r="G13" s="1"/>
      <c r="H13" s="1"/>
      <c r="I13" s="6"/>
      <c r="J13" s="6"/>
      <c r="K13" s="6"/>
      <c r="L13" s="6"/>
      <c r="M13" s="6"/>
      <c r="N13" s="6"/>
      <c r="O13" s="1"/>
      <c r="P13" s="1"/>
      <c r="Q13" s="1"/>
      <c r="R13" s="1"/>
      <c r="S13" s="1"/>
      <c r="T13" s="1"/>
      <c r="U13" s="6"/>
      <c r="V13" s="6"/>
      <c r="W13" s="6"/>
      <c r="X13" s="6"/>
      <c r="Y13" s="6"/>
      <c r="Z13" s="6"/>
    </row>
    <row r="14" spans="1:26" ht="27.75" customHeight="1" x14ac:dyDescent="0.25">
      <c r="A14" s="69">
        <v>263</v>
      </c>
      <c r="B14" s="70" t="s">
        <v>145</v>
      </c>
      <c r="C14" s="1"/>
      <c r="D14" s="1"/>
      <c r="E14" s="1"/>
      <c r="F14" s="1"/>
      <c r="G14" s="1"/>
      <c r="H14" s="1"/>
      <c r="I14" s="6"/>
      <c r="J14" s="6"/>
      <c r="K14" s="6"/>
      <c r="L14" s="6"/>
      <c r="M14" s="6"/>
      <c r="N14" s="6"/>
      <c r="O14" s="1"/>
      <c r="P14" s="1"/>
      <c r="Q14" s="1"/>
      <c r="R14" s="1"/>
      <c r="S14" s="1"/>
      <c r="T14" s="1"/>
      <c r="U14" s="6"/>
      <c r="V14" s="6"/>
      <c r="W14" s="6"/>
      <c r="X14" s="6"/>
      <c r="Y14" s="6"/>
      <c r="Z14" s="6"/>
    </row>
    <row r="15" spans="1:26" ht="27.75" customHeight="1" x14ac:dyDescent="0.25">
      <c r="A15" s="73">
        <v>264</v>
      </c>
      <c r="B15" s="70" t="s">
        <v>146</v>
      </c>
      <c r="C15" s="1"/>
      <c r="D15" s="1"/>
      <c r="E15" s="1"/>
      <c r="F15" s="1"/>
      <c r="G15" s="1"/>
      <c r="H15" s="1"/>
      <c r="I15" s="6"/>
      <c r="J15" s="6"/>
      <c r="K15" s="6"/>
      <c r="L15" s="6"/>
      <c r="M15" s="6"/>
      <c r="N15" s="6"/>
      <c r="O15" s="1"/>
      <c r="P15" s="1"/>
      <c r="Q15" s="1"/>
      <c r="R15" s="1"/>
      <c r="S15" s="1"/>
      <c r="T15" s="1"/>
      <c r="U15" s="6"/>
      <c r="V15" s="6"/>
      <c r="W15" s="6"/>
      <c r="X15" s="6"/>
      <c r="Y15" s="6"/>
      <c r="Z15" s="6"/>
    </row>
    <row r="16" spans="1:26" ht="27.75" customHeight="1" x14ac:dyDescent="0.25">
      <c r="A16" s="73">
        <v>265</v>
      </c>
      <c r="B16" s="70" t="s">
        <v>147</v>
      </c>
      <c r="C16" s="1"/>
      <c r="D16" s="1"/>
      <c r="E16" s="1"/>
      <c r="F16" s="1"/>
      <c r="G16" s="1"/>
      <c r="H16" s="1"/>
      <c r="I16" s="6"/>
      <c r="J16" s="6"/>
      <c r="K16" s="6"/>
      <c r="L16" s="6"/>
      <c r="M16" s="6"/>
      <c r="N16" s="6"/>
      <c r="O16" s="1"/>
      <c r="P16" s="1"/>
      <c r="Q16" s="1"/>
      <c r="R16" s="1"/>
      <c r="S16" s="1"/>
      <c r="T16" s="1"/>
      <c r="U16" s="6"/>
      <c r="V16" s="6"/>
      <c r="W16" s="6"/>
      <c r="X16" s="6"/>
      <c r="Y16" s="6"/>
      <c r="Z16" s="6"/>
    </row>
    <row r="17" spans="1:26" ht="27.75" customHeight="1" x14ac:dyDescent="0.25">
      <c r="A17" s="73">
        <v>266</v>
      </c>
      <c r="B17" s="70" t="s">
        <v>148</v>
      </c>
      <c r="C17" s="1"/>
      <c r="D17" s="1"/>
      <c r="E17" s="1"/>
      <c r="F17" s="1"/>
      <c r="G17" s="1"/>
      <c r="H17" s="1"/>
      <c r="I17" s="6"/>
      <c r="J17" s="6"/>
      <c r="K17" s="6"/>
      <c r="L17" s="6"/>
      <c r="M17" s="6"/>
      <c r="N17" s="6"/>
      <c r="O17" s="1"/>
      <c r="P17" s="1"/>
      <c r="Q17" s="1"/>
      <c r="R17" s="1"/>
      <c r="S17" s="1"/>
      <c r="T17" s="1"/>
      <c r="U17" s="6"/>
      <c r="V17" s="6"/>
      <c r="W17" s="6"/>
      <c r="X17" s="6"/>
      <c r="Y17" s="6"/>
      <c r="Z17" s="6"/>
    </row>
    <row r="18" spans="1:26" ht="27.75" customHeight="1" x14ac:dyDescent="0.25">
      <c r="A18" s="73">
        <v>267</v>
      </c>
      <c r="B18" s="70" t="s">
        <v>149</v>
      </c>
      <c r="C18" s="1"/>
      <c r="D18" s="1"/>
      <c r="E18" s="1"/>
      <c r="F18" s="1"/>
      <c r="G18" s="1"/>
      <c r="H18" s="1"/>
      <c r="I18" s="6"/>
      <c r="J18" s="6"/>
      <c r="K18" s="6"/>
      <c r="L18" s="6"/>
      <c r="M18" s="6"/>
      <c r="N18" s="6"/>
      <c r="O18" s="1"/>
      <c r="P18" s="1"/>
      <c r="Q18" s="1"/>
      <c r="R18" s="1"/>
      <c r="S18" s="1"/>
      <c r="T18" s="1"/>
      <c r="U18" s="6"/>
      <c r="V18" s="6"/>
      <c r="W18" s="6"/>
      <c r="X18" s="6"/>
      <c r="Y18" s="6"/>
      <c r="Z18" s="6"/>
    </row>
    <row r="19" spans="1:26" ht="27.75" customHeight="1" x14ac:dyDescent="0.25">
      <c r="A19" s="73">
        <v>268</v>
      </c>
      <c r="B19" s="70" t="s">
        <v>150</v>
      </c>
      <c r="C19" s="1"/>
      <c r="D19" s="1"/>
      <c r="E19" s="1"/>
      <c r="F19" s="1"/>
      <c r="G19" s="1"/>
      <c r="H19" s="1"/>
      <c r="I19" s="6"/>
      <c r="J19" s="6"/>
      <c r="K19" s="6"/>
      <c r="L19" s="6"/>
      <c r="M19" s="6"/>
      <c r="N19" s="6"/>
      <c r="O19" s="1"/>
      <c r="P19" s="1"/>
      <c r="Q19" s="1"/>
      <c r="R19" s="1"/>
      <c r="S19" s="1"/>
      <c r="T19" s="1"/>
      <c r="U19" s="6"/>
      <c r="V19" s="6"/>
      <c r="W19" s="6"/>
      <c r="X19" s="6"/>
      <c r="Y19" s="6"/>
      <c r="Z19" s="6"/>
    </row>
    <row r="20" spans="1:26" ht="27.75" customHeight="1" x14ac:dyDescent="0.25">
      <c r="A20" s="73">
        <v>271</v>
      </c>
      <c r="B20" s="70" t="s">
        <v>151</v>
      </c>
      <c r="C20" s="1"/>
      <c r="D20" s="1"/>
      <c r="E20" s="1"/>
      <c r="F20" s="1"/>
      <c r="G20" s="1"/>
      <c r="H20" s="1"/>
      <c r="I20" s="6"/>
      <c r="J20" s="6"/>
      <c r="K20" s="6"/>
      <c r="L20" s="6"/>
      <c r="M20" s="6"/>
      <c r="N20" s="6"/>
      <c r="O20" s="1"/>
      <c r="P20" s="1"/>
      <c r="Q20" s="1"/>
      <c r="R20" s="1"/>
      <c r="S20" s="1"/>
      <c r="T20" s="1"/>
      <c r="U20" s="6"/>
      <c r="V20" s="6"/>
      <c r="W20" s="6"/>
      <c r="X20" s="6"/>
      <c r="Y20" s="6"/>
      <c r="Z20" s="6"/>
    </row>
    <row r="21" spans="1:26" ht="27.75" customHeight="1" x14ac:dyDescent="0.25">
      <c r="A21" s="73">
        <v>272</v>
      </c>
      <c r="B21" s="70" t="s">
        <v>152</v>
      </c>
      <c r="C21" s="1"/>
      <c r="D21" s="1"/>
      <c r="E21" s="1"/>
      <c r="F21" s="1"/>
      <c r="G21" s="1"/>
      <c r="H21" s="1"/>
      <c r="I21" s="6"/>
      <c r="J21" s="6"/>
      <c r="K21" s="6"/>
      <c r="L21" s="6"/>
      <c r="M21" s="6"/>
      <c r="N21" s="6"/>
      <c r="O21" s="1"/>
      <c r="P21" s="1"/>
      <c r="Q21" s="1"/>
      <c r="R21" s="1"/>
      <c r="S21" s="1"/>
      <c r="T21" s="1"/>
      <c r="U21" s="6"/>
      <c r="V21" s="6"/>
      <c r="W21" s="6"/>
      <c r="X21" s="6"/>
      <c r="Y21" s="6"/>
      <c r="Z21" s="6"/>
    </row>
    <row r="22" spans="1:26" ht="27.75" customHeight="1" x14ac:dyDescent="0.25">
      <c r="A22" s="73">
        <v>282</v>
      </c>
      <c r="B22" s="70" t="s">
        <v>153</v>
      </c>
      <c r="C22" s="1"/>
      <c r="D22" s="1"/>
      <c r="E22" s="1"/>
      <c r="F22" s="1"/>
      <c r="G22" s="1"/>
      <c r="H22" s="1"/>
      <c r="I22" s="6"/>
      <c r="J22" s="6"/>
      <c r="K22" s="6"/>
      <c r="L22" s="6"/>
      <c r="M22" s="6"/>
      <c r="N22" s="6"/>
      <c r="O22" s="1"/>
      <c r="P22" s="1"/>
      <c r="Q22" s="1"/>
      <c r="R22" s="1"/>
      <c r="S22" s="1"/>
      <c r="T22" s="1"/>
      <c r="U22" s="6"/>
      <c r="V22" s="6"/>
      <c r="W22" s="6"/>
      <c r="X22" s="6"/>
      <c r="Y22" s="6"/>
      <c r="Z22" s="6"/>
    </row>
    <row r="23" spans="1:26" ht="27.75" customHeight="1" x14ac:dyDescent="0.25">
      <c r="A23" s="73">
        <v>283</v>
      </c>
      <c r="B23" s="70" t="s">
        <v>154</v>
      </c>
      <c r="C23" s="1"/>
      <c r="D23" s="1"/>
      <c r="E23" s="1"/>
      <c r="F23" s="1"/>
      <c r="G23" s="1"/>
      <c r="H23" s="1"/>
      <c r="I23" s="6"/>
      <c r="J23" s="6"/>
      <c r="K23" s="6"/>
      <c r="L23" s="6"/>
      <c r="M23" s="6"/>
      <c r="N23" s="6"/>
      <c r="O23" s="1"/>
      <c r="P23" s="1"/>
      <c r="Q23" s="1"/>
      <c r="R23" s="1"/>
      <c r="S23" s="1"/>
      <c r="T23" s="1"/>
      <c r="U23" s="6"/>
      <c r="V23" s="6"/>
      <c r="W23" s="6"/>
      <c r="X23" s="6"/>
      <c r="Y23" s="6"/>
      <c r="Z23" s="6"/>
    </row>
  </sheetData>
  <mergeCells count="4">
    <mergeCell ref="U2:Z2"/>
    <mergeCell ref="C2:H2"/>
    <mergeCell ref="I2:N2"/>
    <mergeCell ref="O2:T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2"/>
  <sheetViews>
    <sheetView topLeftCell="A5" zoomScale="70" zoomScaleNormal="70" workbookViewId="0">
      <selection activeCell="O15" sqref="O15"/>
    </sheetView>
  </sheetViews>
  <sheetFormatPr baseColWidth="10" defaultRowHeight="15" x14ac:dyDescent="0.25"/>
  <cols>
    <col min="2" max="2" width="13.28515625" customWidth="1"/>
    <col min="5" max="5" width="14.28515625" bestFit="1" customWidth="1"/>
    <col min="7" max="7" width="21.28515625" bestFit="1" customWidth="1"/>
    <col min="10" max="10" width="17.5703125" customWidth="1"/>
  </cols>
  <sheetData>
    <row r="1" spans="1:13" ht="15.75" x14ac:dyDescent="0.25">
      <c r="A1" s="215" t="s">
        <v>133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</row>
    <row r="2" spans="1:13" s="8" customFormat="1" x14ac:dyDescent="0.25">
      <c r="A2" s="32" t="s">
        <v>0</v>
      </c>
      <c r="B2" s="33" t="s">
        <v>1</v>
      </c>
      <c r="C2" s="19" t="s">
        <v>122</v>
      </c>
      <c r="D2" s="19" t="s">
        <v>123</v>
      </c>
      <c r="E2" s="19" t="s">
        <v>124</v>
      </c>
      <c r="F2" s="19" t="s">
        <v>125</v>
      </c>
      <c r="G2" s="19" t="s">
        <v>126</v>
      </c>
      <c r="H2" s="19" t="s">
        <v>128</v>
      </c>
      <c r="I2" s="19" t="s">
        <v>129</v>
      </c>
      <c r="J2" s="19" t="s">
        <v>130</v>
      </c>
      <c r="K2" s="19" t="s">
        <v>131</v>
      </c>
      <c r="L2" s="19" t="s">
        <v>132</v>
      </c>
      <c r="M2" s="19" t="s">
        <v>134</v>
      </c>
    </row>
    <row r="3" spans="1:13" ht="32.25" customHeight="1" x14ac:dyDescent="0.25">
      <c r="A3" s="73">
        <v>176</v>
      </c>
      <c r="B3" s="70" t="s">
        <v>135</v>
      </c>
      <c r="C3" s="1" t="s">
        <v>156</v>
      </c>
      <c r="D3" s="1" t="s">
        <v>156</v>
      </c>
      <c r="E3" s="1" t="s">
        <v>156</v>
      </c>
      <c r="F3" s="1" t="s">
        <v>156</v>
      </c>
      <c r="G3" s="1" t="s">
        <v>156</v>
      </c>
      <c r="H3" s="1" t="s">
        <v>156</v>
      </c>
      <c r="I3" s="1" t="s">
        <v>156</v>
      </c>
      <c r="J3" s="1" t="s">
        <v>156</v>
      </c>
      <c r="K3" s="1" t="s">
        <v>156</v>
      </c>
      <c r="L3" s="1" t="s">
        <v>156</v>
      </c>
      <c r="M3" s="1"/>
    </row>
    <row r="4" spans="1:13" ht="32.25" customHeight="1" x14ac:dyDescent="0.25">
      <c r="A4" s="73">
        <v>181</v>
      </c>
      <c r="B4" s="70" t="s">
        <v>136</v>
      </c>
      <c r="C4" s="1" t="s">
        <v>156</v>
      </c>
      <c r="D4" s="1" t="s">
        <v>156</v>
      </c>
      <c r="E4" s="1" t="s">
        <v>156</v>
      </c>
      <c r="F4" s="1" t="s">
        <v>156</v>
      </c>
      <c r="G4" s="1" t="s">
        <v>156</v>
      </c>
      <c r="H4" s="1" t="s">
        <v>156</v>
      </c>
      <c r="I4" s="1" t="s">
        <v>156</v>
      </c>
      <c r="J4" s="1" t="s">
        <v>156</v>
      </c>
      <c r="K4" s="1" t="s">
        <v>156</v>
      </c>
      <c r="L4" s="1" t="s">
        <v>156</v>
      </c>
      <c r="M4" s="1"/>
    </row>
    <row r="5" spans="1:13" ht="32.25" customHeight="1" x14ac:dyDescent="0.25">
      <c r="A5" s="73">
        <v>182</v>
      </c>
      <c r="B5" s="70" t="s">
        <v>137</v>
      </c>
      <c r="C5" s="1" t="s">
        <v>156</v>
      </c>
      <c r="D5" s="1" t="s">
        <v>156</v>
      </c>
      <c r="E5" s="1" t="s">
        <v>156</v>
      </c>
      <c r="F5" s="1" t="s">
        <v>156</v>
      </c>
      <c r="G5" s="1" t="s">
        <v>156</v>
      </c>
      <c r="H5" s="1" t="s">
        <v>156</v>
      </c>
      <c r="I5" s="1" t="s">
        <v>156</v>
      </c>
      <c r="J5" s="1" t="s">
        <v>156</v>
      </c>
      <c r="K5" s="1" t="s">
        <v>156</v>
      </c>
      <c r="L5" s="1" t="s">
        <v>156</v>
      </c>
      <c r="M5" s="1"/>
    </row>
    <row r="6" spans="1:13" ht="32.25" customHeight="1" x14ac:dyDescent="0.25">
      <c r="A6" s="73">
        <v>240</v>
      </c>
      <c r="B6" s="70" t="s">
        <v>138</v>
      </c>
      <c r="C6" s="1" t="s">
        <v>156</v>
      </c>
      <c r="D6" s="1" t="s">
        <v>156</v>
      </c>
      <c r="E6" s="1" t="s">
        <v>156</v>
      </c>
      <c r="F6" s="1" t="s">
        <v>156</v>
      </c>
      <c r="G6" s="1" t="s">
        <v>156</v>
      </c>
      <c r="H6" s="1" t="s">
        <v>156</v>
      </c>
      <c r="I6" s="1" t="s">
        <v>156</v>
      </c>
      <c r="J6" s="1" t="s">
        <v>156</v>
      </c>
      <c r="K6" s="1" t="s">
        <v>156</v>
      </c>
      <c r="L6" s="1" t="s">
        <v>156</v>
      </c>
      <c r="M6" s="1"/>
    </row>
    <row r="7" spans="1:13" ht="32.25" customHeight="1" x14ac:dyDescent="0.25">
      <c r="A7" s="73">
        <v>247</v>
      </c>
      <c r="B7" s="70" t="s">
        <v>139</v>
      </c>
      <c r="C7" s="1" t="s">
        <v>156</v>
      </c>
      <c r="D7" s="1" t="s">
        <v>156</v>
      </c>
      <c r="E7" s="1" t="s">
        <v>156</v>
      </c>
      <c r="F7" s="1" t="s">
        <v>156</v>
      </c>
      <c r="G7" s="1" t="s">
        <v>156</v>
      </c>
      <c r="H7" s="1" t="s">
        <v>156</v>
      </c>
      <c r="I7" s="1" t="s">
        <v>156</v>
      </c>
      <c r="J7" s="1" t="s">
        <v>156</v>
      </c>
      <c r="K7" s="1" t="s">
        <v>156</v>
      </c>
      <c r="L7" s="1" t="s">
        <v>156</v>
      </c>
      <c r="M7" s="1"/>
    </row>
    <row r="8" spans="1:13" ht="32.25" customHeight="1" x14ac:dyDescent="0.25">
      <c r="A8" s="73">
        <v>249</v>
      </c>
      <c r="B8" s="70" t="s">
        <v>140</v>
      </c>
      <c r="C8" s="1" t="s">
        <v>156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32.25" customHeight="1" x14ac:dyDescent="0.25">
      <c r="A9" s="73">
        <v>250</v>
      </c>
      <c r="B9" s="70" t="s">
        <v>141</v>
      </c>
      <c r="C9" s="1" t="s">
        <v>156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32.25" customHeight="1" x14ac:dyDescent="0.25">
      <c r="A10" s="81">
        <v>251</v>
      </c>
      <c r="B10" s="70" t="s">
        <v>142</v>
      </c>
      <c r="C10" s="1" t="s">
        <v>156</v>
      </c>
      <c r="D10" s="1" t="s">
        <v>156</v>
      </c>
      <c r="E10" s="1" t="s">
        <v>156</v>
      </c>
      <c r="F10" s="1" t="s">
        <v>156</v>
      </c>
      <c r="G10" s="1" t="s">
        <v>156</v>
      </c>
      <c r="H10" s="1" t="s">
        <v>156</v>
      </c>
      <c r="I10" s="1" t="s">
        <v>156</v>
      </c>
      <c r="J10" s="1" t="s">
        <v>156</v>
      </c>
      <c r="K10" s="1" t="s">
        <v>156</v>
      </c>
      <c r="L10" s="1" t="s">
        <v>156</v>
      </c>
      <c r="M10" s="1"/>
    </row>
    <row r="11" spans="1:13" ht="32.25" customHeight="1" x14ac:dyDescent="0.25">
      <c r="A11" s="81">
        <v>261</v>
      </c>
      <c r="B11" s="82" t="s">
        <v>143</v>
      </c>
      <c r="C11" s="1" t="s">
        <v>156</v>
      </c>
      <c r="D11" s="1" t="s">
        <v>156</v>
      </c>
      <c r="E11" s="1" t="s">
        <v>156</v>
      </c>
      <c r="F11" s="1" t="s">
        <v>156</v>
      </c>
      <c r="G11" s="1" t="s">
        <v>156</v>
      </c>
      <c r="H11" s="1" t="s">
        <v>156</v>
      </c>
      <c r="I11" s="1" t="s">
        <v>156</v>
      </c>
      <c r="J11" s="1" t="s">
        <v>156</v>
      </c>
      <c r="K11" s="1" t="s">
        <v>156</v>
      </c>
      <c r="L11" s="1" t="s">
        <v>156</v>
      </c>
      <c r="M11" s="1"/>
    </row>
    <row r="12" spans="1:13" ht="32.25" customHeight="1" x14ac:dyDescent="0.25">
      <c r="A12" s="69">
        <v>262</v>
      </c>
      <c r="B12" s="82" t="s">
        <v>144</v>
      </c>
      <c r="C12" s="1" t="s">
        <v>156</v>
      </c>
      <c r="D12" s="1" t="s">
        <v>156</v>
      </c>
      <c r="E12" s="1" t="s">
        <v>156</v>
      </c>
      <c r="F12" s="1" t="s">
        <v>156</v>
      </c>
      <c r="G12" s="1" t="s">
        <v>156</v>
      </c>
      <c r="H12" s="1" t="s">
        <v>156</v>
      </c>
      <c r="I12" s="1" t="s">
        <v>156</v>
      </c>
      <c r="J12" s="1" t="s">
        <v>156</v>
      </c>
      <c r="K12" s="1" t="s">
        <v>156</v>
      </c>
      <c r="L12" s="1" t="s">
        <v>156</v>
      </c>
      <c r="M12" s="1"/>
    </row>
    <row r="13" spans="1:13" ht="32.25" customHeight="1" x14ac:dyDescent="0.25">
      <c r="A13" s="69">
        <v>263</v>
      </c>
      <c r="B13" s="70" t="s">
        <v>145</v>
      </c>
      <c r="C13" s="1" t="s">
        <v>156</v>
      </c>
      <c r="D13" s="1" t="s">
        <v>156</v>
      </c>
      <c r="E13" s="1" t="s">
        <v>156</v>
      </c>
      <c r="F13" s="1" t="s">
        <v>156</v>
      </c>
      <c r="G13" s="1" t="s">
        <v>156</v>
      </c>
      <c r="H13" s="1" t="s">
        <v>156</v>
      </c>
      <c r="I13" s="1" t="s">
        <v>156</v>
      </c>
      <c r="J13" s="1" t="s">
        <v>156</v>
      </c>
      <c r="K13" s="1" t="s">
        <v>156</v>
      </c>
      <c r="L13" s="1" t="s">
        <v>156</v>
      </c>
      <c r="M13" s="1"/>
    </row>
    <row r="14" spans="1:13" ht="32.25" customHeight="1" x14ac:dyDescent="0.25">
      <c r="A14" s="73">
        <v>264</v>
      </c>
      <c r="B14" s="70" t="s">
        <v>146</v>
      </c>
      <c r="C14" s="1" t="s">
        <v>156</v>
      </c>
      <c r="D14" s="1" t="s">
        <v>156</v>
      </c>
      <c r="E14" s="1" t="s">
        <v>156</v>
      </c>
      <c r="F14" s="1" t="s">
        <v>156</v>
      </c>
      <c r="G14" s="1" t="s">
        <v>156</v>
      </c>
      <c r="H14" s="1" t="s">
        <v>156</v>
      </c>
      <c r="I14" s="1" t="s">
        <v>156</v>
      </c>
      <c r="J14" s="1" t="s">
        <v>156</v>
      </c>
      <c r="K14" s="1" t="s">
        <v>156</v>
      </c>
      <c r="L14" s="1" t="s">
        <v>156</v>
      </c>
      <c r="M14" s="1"/>
    </row>
    <row r="15" spans="1:13" ht="32.25" customHeight="1" x14ac:dyDescent="0.25">
      <c r="A15" s="73">
        <v>265</v>
      </c>
      <c r="B15" s="70" t="s">
        <v>147</v>
      </c>
      <c r="C15" s="1" t="s">
        <v>156</v>
      </c>
      <c r="D15" s="1" t="s">
        <v>156</v>
      </c>
      <c r="E15" s="1" t="s">
        <v>156</v>
      </c>
      <c r="F15" s="1" t="s">
        <v>156</v>
      </c>
      <c r="G15" s="1" t="s">
        <v>156</v>
      </c>
      <c r="H15" s="1" t="s">
        <v>156</v>
      </c>
      <c r="I15" s="1" t="s">
        <v>156</v>
      </c>
      <c r="J15" s="1" t="s">
        <v>156</v>
      </c>
      <c r="K15" s="1" t="s">
        <v>156</v>
      </c>
      <c r="L15" s="1" t="s">
        <v>156</v>
      </c>
      <c r="M15" s="1"/>
    </row>
    <row r="16" spans="1:13" ht="32.25" customHeight="1" x14ac:dyDescent="0.25">
      <c r="A16" s="73">
        <v>266</v>
      </c>
      <c r="B16" s="70" t="s">
        <v>148</v>
      </c>
      <c r="C16" s="1" t="s">
        <v>156</v>
      </c>
      <c r="D16" s="1" t="s">
        <v>156</v>
      </c>
      <c r="E16" s="1" t="s">
        <v>156</v>
      </c>
      <c r="F16" s="1" t="s">
        <v>156</v>
      </c>
      <c r="G16" s="1" t="s">
        <v>156</v>
      </c>
      <c r="H16" s="1" t="s">
        <v>156</v>
      </c>
      <c r="I16" s="1" t="s">
        <v>156</v>
      </c>
      <c r="J16" s="1" t="s">
        <v>156</v>
      </c>
      <c r="K16" s="1" t="s">
        <v>156</v>
      </c>
      <c r="L16" s="1" t="s">
        <v>156</v>
      </c>
      <c r="M16" s="1"/>
    </row>
    <row r="17" spans="1:13" ht="32.25" customHeight="1" x14ac:dyDescent="0.25">
      <c r="A17" s="73">
        <v>267</v>
      </c>
      <c r="B17" s="70" t="s">
        <v>149</v>
      </c>
      <c r="C17" s="1" t="s">
        <v>156</v>
      </c>
      <c r="D17" s="1" t="s">
        <v>156</v>
      </c>
      <c r="E17" s="1" t="s">
        <v>156</v>
      </c>
      <c r="F17" s="1" t="s">
        <v>156</v>
      </c>
      <c r="G17" s="1" t="s">
        <v>156</v>
      </c>
      <c r="H17" s="1" t="s">
        <v>156</v>
      </c>
      <c r="I17" s="1" t="s">
        <v>156</v>
      </c>
      <c r="J17" s="1" t="s">
        <v>156</v>
      </c>
      <c r="K17" s="1" t="s">
        <v>156</v>
      </c>
      <c r="L17" s="1" t="s">
        <v>156</v>
      </c>
      <c r="M17" s="1"/>
    </row>
    <row r="18" spans="1:13" ht="32.25" customHeight="1" x14ac:dyDescent="0.25">
      <c r="A18" s="73">
        <v>268</v>
      </c>
      <c r="B18" s="70" t="s">
        <v>150</v>
      </c>
      <c r="C18" s="1" t="s">
        <v>156</v>
      </c>
      <c r="D18" s="1" t="s">
        <v>156</v>
      </c>
      <c r="E18" s="1" t="s">
        <v>156</v>
      </c>
      <c r="F18" s="1" t="s">
        <v>156</v>
      </c>
      <c r="G18" s="1" t="s">
        <v>156</v>
      </c>
      <c r="H18" s="1" t="s">
        <v>156</v>
      </c>
      <c r="I18" s="1" t="s">
        <v>156</v>
      </c>
      <c r="J18" s="1" t="s">
        <v>156</v>
      </c>
      <c r="K18" s="1" t="s">
        <v>156</v>
      </c>
      <c r="L18" s="1" t="s">
        <v>156</v>
      </c>
      <c r="M18" s="1"/>
    </row>
    <row r="19" spans="1:13" ht="32.25" customHeight="1" x14ac:dyDescent="0.25">
      <c r="A19" s="73">
        <v>271</v>
      </c>
      <c r="B19" s="70" t="s">
        <v>151</v>
      </c>
      <c r="C19" s="1" t="s">
        <v>156</v>
      </c>
      <c r="D19" s="1" t="s">
        <v>156</v>
      </c>
      <c r="E19" s="1" t="s">
        <v>156</v>
      </c>
      <c r="F19" s="1" t="s">
        <v>156</v>
      </c>
      <c r="G19" s="1" t="s">
        <v>156</v>
      </c>
      <c r="H19" s="1" t="s">
        <v>156</v>
      </c>
      <c r="I19" s="1" t="s">
        <v>156</v>
      </c>
      <c r="J19" s="1" t="s">
        <v>156</v>
      </c>
      <c r="K19" s="1" t="s">
        <v>156</v>
      </c>
      <c r="L19" s="1" t="s">
        <v>156</v>
      </c>
      <c r="M19" s="1"/>
    </row>
    <row r="20" spans="1:13" ht="32.25" customHeight="1" x14ac:dyDescent="0.25">
      <c r="A20" s="73">
        <v>272</v>
      </c>
      <c r="B20" s="70" t="s">
        <v>152</v>
      </c>
      <c r="C20" s="1" t="s">
        <v>156</v>
      </c>
      <c r="D20" s="1" t="s">
        <v>156</v>
      </c>
      <c r="E20" s="1" t="s">
        <v>156</v>
      </c>
      <c r="F20" s="1" t="s">
        <v>156</v>
      </c>
      <c r="G20" s="1" t="s">
        <v>156</v>
      </c>
      <c r="H20" s="1" t="s">
        <v>156</v>
      </c>
      <c r="I20" s="1" t="s">
        <v>156</v>
      </c>
      <c r="J20" s="1" t="s">
        <v>156</v>
      </c>
      <c r="K20" s="1" t="s">
        <v>156</v>
      </c>
      <c r="L20" s="1" t="s">
        <v>156</v>
      </c>
      <c r="M20" s="1"/>
    </row>
    <row r="21" spans="1:13" ht="32.25" customHeight="1" x14ac:dyDescent="0.25">
      <c r="A21" s="73">
        <v>282</v>
      </c>
      <c r="B21" s="70" t="s">
        <v>153</v>
      </c>
      <c r="C21" s="1" t="s">
        <v>156</v>
      </c>
      <c r="D21" s="1" t="s">
        <v>156</v>
      </c>
      <c r="E21" s="1" t="s">
        <v>156</v>
      </c>
      <c r="F21" s="1" t="s">
        <v>156</v>
      </c>
      <c r="G21" s="1" t="s">
        <v>156</v>
      </c>
      <c r="H21" s="1" t="s">
        <v>156</v>
      </c>
      <c r="I21" s="1" t="s">
        <v>156</v>
      </c>
      <c r="J21" s="1" t="s">
        <v>156</v>
      </c>
      <c r="K21" s="1" t="s">
        <v>156</v>
      </c>
      <c r="L21" s="1" t="s">
        <v>156</v>
      </c>
      <c r="M21" s="1"/>
    </row>
    <row r="22" spans="1:13" ht="32.25" customHeight="1" x14ac:dyDescent="0.25">
      <c r="A22" s="73">
        <v>283</v>
      </c>
      <c r="B22" s="70" t="s">
        <v>154</v>
      </c>
      <c r="C22" s="1" t="s">
        <v>156</v>
      </c>
      <c r="D22" s="1" t="s">
        <v>156</v>
      </c>
      <c r="E22" s="1" t="s">
        <v>156</v>
      </c>
      <c r="F22" s="1" t="s">
        <v>156</v>
      </c>
      <c r="G22" s="1" t="s">
        <v>156</v>
      </c>
      <c r="H22" s="1" t="s">
        <v>156</v>
      </c>
      <c r="I22" s="1" t="s">
        <v>156</v>
      </c>
      <c r="J22" s="1" t="s">
        <v>156</v>
      </c>
      <c r="K22" s="1" t="s">
        <v>156</v>
      </c>
      <c r="L22" s="1" t="s">
        <v>156</v>
      </c>
      <c r="M22" s="1"/>
    </row>
  </sheetData>
  <mergeCells count="1">
    <mergeCell ref="A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 tint="4.9989318521683403E-2"/>
  </sheetPr>
  <dimension ref="A1:F22"/>
  <sheetViews>
    <sheetView workbookViewId="0">
      <selection activeCell="K20" sqref="K20"/>
    </sheetView>
  </sheetViews>
  <sheetFormatPr baseColWidth="10" defaultRowHeight="15" x14ac:dyDescent="0.25"/>
  <cols>
    <col min="1" max="1" width="12.5703125" bestFit="1" customWidth="1"/>
    <col min="2" max="2" width="14.7109375" bestFit="1" customWidth="1"/>
    <col min="3" max="3" width="18" customWidth="1"/>
    <col min="4" max="4" width="15.5703125" bestFit="1" customWidth="1"/>
    <col min="5" max="5" width="11.42578125" style="3"/>
  </cols>
  <sheetData>
    <row r="1" spans="1:6" s="20" customFormat="1" ht="24" customHeight="1" x14ac:dyDescent="0.25">
      <c r="A1" s="19" t="s">
        <v>54</v>
      </c>
      <c r="B1" s="19" t="s">
        <v>55</v>
      </c>
      <c r="C1" s="19" t="s">
        <v>56</v>
      </c>
      <c r="D1" s="19" t="s">
        <v>43</v>
      </c>
      <c r="E1" s="19" t="s">
        <v>57</v>
      </c>
      <c r="F1" s="19" t="s">
        <v>58</v>
      </c>
    </row>
    <row r="2" spans="1:6" ht="24" customHeight="1" x14ac:dyDescent="0.25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/>
    </row>
    <row r="3" spans="1:6" ht="24" customHeight="1" x14ac:dyDescent="0.25">
      <c r="A3" s="4" t="s">
        <v>64</v>
      </c>
      <c r="B3" s="4" t="s">
        <v>60</v>
      </c>
      <c r="C3" s="4" t="s">
        <v>61</v>
      </c>
      <c r="D3" s="4" t="s">
        <v>62</v>
      </c>
      <c r="E3" s="4" t="s">
        <v>63</v>
      </c>
      <c r="F3" s="4"/>
    </row>
    <row r="4" spans="1:6" ht="24" customHeight="1" x14ac:dyDescent="0.25">
      <c r="A4" s="4" t="s">
        <v>65</v>
      </c>
      <c r="B4" s="4" t="s">
        <v>60</v>
      </c>
      <c r="C4" s="4" t="s">
        <v>61</v>
      </c>
      <c r="D4" s="4" t="s">
        <v>62</v>
      </c>
      <c r="E4" s="4" t="s">
        <v>66</v>
      </c>
      <c r="F4" s="4"/>
    </row>
    <row r="5" spans="1:6" ht="24" customHeight="1" x14ac:dyDescent="0.25">
      <c r="A5" s="4" t="s">
        <v>67</v>
      </c>
      <c r="B5" s="4" t="s">
        <v>60</v>
      </c>
      <c r="C5" s="4" t="s">
        <v>61</v>
      </c>
      <c r="D5" s="4" t="s">
        <v>62</v>
      </c>
      <c r="E5" s="4" t="s">
        <v>66</v>
      </c>
      <c r="F5" s="4"/>
    </row>
    <row r="6" spans="1:6" ht="24" customHeight="1" x14ac:dyDescent="0.25">
      <c r="A6" s="4" t="s">
        <v>68</v>
      </c>
      <c r="B6" s="4" t="s">
        <v>60</v>
      </c>
      <c r="C6" s="4" t="s">
        <v>61</v>
      </c>
      <c r="D6" s="4" t="s">
        <v>62</v>
      </c>
      <c r="E6" s="4" t="s">
        <v>69</v>
      </c>
      <c r="F6" s="4"/>
    </row>
    <row r="7" spans="1:6" ht="24" customHeight="1" x14ac:dyDescent="0.25">
      <c r="A7" s="4" t="s">
        <v>70</v>
      </c>
      <c r="B7" s="4" t="s">
        <v>71</v>
      </c>
      <c r="C7" s="4" t="s">
        <v>61</v>
      </c>
      <c r="D7" s="4" t="s">
        <v>72</v>
      </c>
      <c r="E7" s="4" t="s">
        <v>73</v>
      </c>
      <c r="F7" s="4"/>
    </row>
    <row r="8" spans="1:6" ht="24" customHeight="1" x14ac:dyDescent="0.25">
      <c r="A8" s="4" t="s">
        <v>74</v>
      </c>
      <c r="B8" s="4" t="s">
        <v>75</v>
      </c>
      <c r="C8" s="4" t="s">
        <v>76</v>
      </c>
      <c r="D8" s="4" t="s">
        <v>77</v>
      </c>
      <c r="E8" s="4" t="s">
        <v>86</v>
      </c>
      <c r="F8" s="4"/>
    </row>
    <row r="9" spans="1:6" ht="24" customHeight="1" x14ac:dyDescent="0.25">
      <c r="A9" s="4" t="s">
        <v>78</v>
      </c>
      <c r="B9" s="4" t="s">
        <v>75</v>
      </c>
      <c r="C9" s="4" t="s">
        <v>76</v>
      </c>
      <c r="D9" s="4" t="s">
        <v>77</v>
      </c>
      <c r="E9" s="4" t="s">
        <v>79</v>
      </c>
      <c r="F9" s="4"/>
    </row>
    <row r="10" spans="1:6" ht="24" customHeight="1" x14ac:dyDescent="0.25">
      <c r="A10" s="4" t="s">
        <v>80</v>
      </c>
      <c r="B10" s="4" t="s">
        <v>75</v>
      </c>
      <c r="C10" s="4" t="s">
        <v>76</v>
      </c>
      <c r="D10" s="4" t="s">
        <v>77</v>
      </c>
      <c r="E10" s="4" t="s">
        <v>86</v>
      </c>
      <c r="F10" s="4"/>
    </row>
    <row r="11" spans="1:6" ht="24" customHeight="1" x14ac:dyDescent="0.25">
      <c r="A11" s="4" t="s">
        <v>81</v>
      </c>
      <c r="B11" s="4"/>
      <c r="C11" s="4"/>
      <c r="D11" s="4"/>
      <c r="E11" s="4"/>
      <c r="F11" s="4"/>
    </row>
    <row r="12" spans="1:6" ht="24" customHeight="1" x14ac:dyDescent="0.25">
      <c r="A12" s="4" t="s">
        <v>82</v>
      </c>
      <c r="B12" s="4"/>
      <c r="C12" s="4"/>
      <c r="D12" s="4"/>
      <c r="E12" s="4"/>
      <c r="F12" s="4"/>
    </row>
    <row r="13" spans="1:6" ht="24" customHeight="1" x14ac:dyDescent="0.25">
      <c r="A13" s="4" t="s">
        <v>83</v>
      </c>
      <c r="B13" s="4" t="s">
        <v>60</v>
      </c>
      <c r="C13" s="4" t="s">
        <v>61</v>
      </c>
      <c r="D13" s="4" t="s">
        <v>62</v>
      </c>
      <c r="E13" s="4" t="s">
        <v>86</v>
      </c>
      <c r="F13" s="4"/>
    </row>
    <row r="14" spans="1:6" ht="24" customHeight="1" x14ac:dyDescent="0.25">
      <c r="A14" s="4" t="s">
        <v>84</v>
      </c>
      <c r="B14" s="4" t="s">
        <v>60</v>
      </c>
      <c r="C14" s="4" t="s">
        <v>61</v>
      </c>
      <c r="D14" s="4" t="s">
        <v>62</v>
      </c>
      <c r="E14" s="4" t="s">
        <v>63</v>
      </c>
      <c r="F14" s="4"/>
    </row>
    <row r="15" spans="1:6" ht="24" customHeight="1" x14ac:dyDescent="0.25">
      <c r="A15" s="4" t="s">
        <v>85</v>
      </c>
      <c r="B15" s="4" t="s">
        <v>60</v>
      </c>
      <c r="C15" s="4" t="s">
        <v>61</v>
      </c>
      <c r="D15" s="4" t="s">
        <v>62</v>
      </c>
      <c r="E15" s="4" t="s">
        <v>86</v>
      </c>
      <c r="F15" s="4"/>
    </row>
    <row r="16" spans="1:6" ht="24" customHeight="1" x14ac:dyDescent="0.25">
      <c r="A16" s="4" t="s">
        <v>87</v>
      </c>
      <c r="B16" s="4" t="s">
        <v>75</v>
      </c>
      <c r="C16" s="4" t="s">
        <v>76</v>
      </c>
      <c r="D16" s="4" t="s">
        <v>77</v>
      </c>
      <c r="E16" s="4" t="s">
        <v>88</v>
      </c>
      <c r="F16" s="4"/>
    </row>
    <row r="17" spans="1:6" ht="24" customHeight="1" x14ac:dyDescent="0.25">
      <c r="A17" s="4" t="s">
        <v>89</v>
      </c>
      <c r="B17" s="4" t="s">
        <v>71</v>
      </c>
      <c r="C17" s="4" t="s">
        <v>61</v>
      </c>
      <c r="D17" s="4" t="s">
        <v>72</v>
      </c>
      <c r="E17" s="4" t="s">
        <v>88</v>
      </c>
      <c r="F17" s="4"/>
    </row>
    <row r="18" spans="1:6" ht="24" customHeight="1" x14ac:dyDescent="0.25">
      <c r="A18" s="4" t="s">
        <v>90</v>
      </c>
      <c r="B18" s="4" t="s">
        <v>60</v>
      </c>
      <c r="C18" s="4" t="s">
        <v>61</v>
      </c>
      <c r="D18" s="4" t="s">
        <v>62</v>
      </c>
      <c r="E18" s="4" t="s">
        <v>91</v>
      </c>
      <c r="F18" s="4"/>
    </row>
    <row r="19" spans="1:6" ht="24" customHeight="1" x14ac:dyDescent="0.25">
      <c r="A19" s="4" t="s">
        <v>92</v>
      </c>
      <c r="B19" s="4"/>
      <c r="C19" s="4"/>
      <c r="D19" s="4"/>
      <c r="E19" s="4" t="s">
        <v>73</v>
      </c>
      <c r="F19" s="4"/>
    </row>
    <row r="20" spans="1:6" ht="24" customHeight="1" x14ac:dyDescent="0.25">
      <c r="A20" s="4" t="s">
        <v>93</v>
      </c>
      <c r="B20" s="4"/>
      <c r="C20" s="4"/>
      <c r="D20" s="4"/>
      <c r="E20" s="4"/>
      <c r="F20" s="4"/>
    </row>
    <row r="21" spans="1:6" ht="24" customHeight="1" x14ac:dyDescent="0.25">
      <c r="A21" s="4" t="s">
        <v>94</v>
      </c>
      <c r="B21" s="4"/>
      <c r="C21" s="4"/>
      <c r="D21" s="4"/>
      <c r="E21" s="4" t="s">
        <v>73</v>
      </c>
      <c r="F21" s="4"/>
    </row>
    <row r="22" spans="1:6" ht="24" customHeight="1" x14ac:dyDescent="0.25">
      <c r="A22" s="4" t="s">
        <v>95</v>
      </c>
      <c r="B22" s="4"/>
      <c r="C22" s="4"/>
      <c r="D22" s="4"/>
      <c r="E22" s="4" t="s">
        <v>96</v>
      </c>
      <c r="F22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workbookViewId="0">
      <selection activeCell="C5" sqref="C5"/>
    </sheetView>
  </sheetViews>
  <sheetFormatPr baseColWidth="10" defaultColWidth="11.42578125" defaultRowHeight="15" x14ac:dyDescent="0.25"/>
  <cols>
    <col min="1" max="1" width="25.5703125" style="8" customWidth="1"/>
    <col min="2" max="2" width="22.28515625" style="8" bestFit="1" customWidth="1"/>
    <col min="3" max="3" width="21" style="8" bestFit="1" customWidth="1"/>
    <col min="4" max="4" width="6.42578125" style="8" bestFit="1" customWidth="1"/>
    <col min="5" max="5" width="21.42578125" style="8" bestFit="1" customWidth="1"/>
    <col min="6" max="6" width="6.42578125" style="8" bestFit="1" customWidth="1"/>
    <col min="7" max="7" width="28.85546875" style="8" bestFit="1" customWidth="1"/>
    <col min="8" max="8" width="26.85546875" style="8" customWidth="1"/>
    <col min="9" max="16384" width="11.42578125" style="8"/>
  </cols>
  <sheetData>
    <row r="1" spans="1:8" ht="15.75" thickBot="1" x14ac:dyDescent="0.3"/>
    <row r="2" spans="1:8" s="20" customFormat="1" ht="33" customHeight="1" x14ac:dyDescent="0.25">
      <c r="A2" s="19" t="s">
        <v>54</v>
      </c>
      <c r="B2" s="21" t="s">
        <v>97</v>
      </c>
      <c r="C2" s="26" t="s">
        <v>98</v>
      </c>
      <c r="D2" s="27" t="s">
        <v>99</v>
      </c>
      <c r="E2" s="26" t="s">
        <v>118</v>
      </c>
      <c r="F2" s="27" t="s">
        <v>99</v>
      </c>
      <c r="G2" s="23" t="s">
        <v>100</v>
      </c>
      <c r="H2" s="19" t="s">
        <v>53</v>
      </c>
    </row>
    <row r="3" spans="1:8" ht="33" customHeight="1" x14ac:dyDescent="0.25">
      <c r="A3" s="18" t="s">
        <v>59</v>
      </c>
      <c r="B3" s="22" t="s">
        <v>101</v>
      </c>
      <c r="C3" s="28">
        <v>17420</v>
      </c>
      <c r="D3" s="29">
        <v>2</v>
      </c>
      <c r="E3" s="28"/>
      <c r="F3" s="29"/>
      <c r="G3" s="24" t="s">
        <v>102</v>
      </c>
      <c r="H3" s="4"/>
    </row>
    <row r="4" spans="1:8" ht="33" customHeight="1" x14ac:dyDescent="0.25">
      <c r="A4" s="18" t="s">
        <v>64</v>
      </c>
      <c r="B4" s="22" t="s">
        <v>103</v>
      </c>
      <c r="C4" s="28" t="s">
        <v>104</v>
      </c>
      <c r="D4" s="29">
        <v>2</v>
      </c>
      <c r="E4" s="28"/>
      <c r="F4" s="29"/>
      <c r="G4" s="24" t="s">
        <v>105</v>
      </c>
      <c r="H4" s="4"/>
    </row>
    <row r="5" spans="1:8" ht="33" customHeight="1" x14ac:dyDescent="0.25">
      <c r="A5" s="18" t="s">
        <v>106</v>
      </c>
      <c r="B5" s="22" t="s">
        <v>107</v>
      </c>
      <c r="C5" s="28" t="s">
        <v>105</v>
      </c>
      <c r="D5" s="29">
        <v>2</v>
      </c>
      <c r="E5" s="28"/>
      <c r="F5" s="29"/>
      <c r="G5" s="24" t="s">
        <v>108</v>
      </c>
      <c r="H5" s="4" t="s">
        <v>109</v>
      </c>
    </row>
    <row r="6" spans="1:8" ht="33" customHeight="1" x14ac:dyDescent="0.25">
      <c r="A6" s="18" t="s">
        <v>110</v>
      </c>
      <c r="B6" s="22" t="s">
        <v>101</v>
      </c>
      <c r="C6" s="28"/>
      <c r="D6" s="29"/>
      <c r="E6" s="28"/>
      <c r="F6" s="29"/>
      <c r="G6" s="24" t="s">
        <v>111</v>
      </c>
      <c r="H6" s="4" t="s">
        <v>109</v>
      </c>
    </row>
    <row r="7" spans="1:8" ht="33" customHeight="1" x14ac:dyDescent="0.25">
      <c r="A7" s="18" t="s">
        <v>67</v>
      </c>
      <c r="B7" s="22"/>
      <c r="C7" s="28" t="s">
        <v>112</v>
      </c>
      <c r="D7" s="29">
        <v>1</v>
      </c>
      <c r="E7" s="28" t="s">
        <v>119</v>
      </c>
      <c r="F7" s="29">
        <v>2</v>
      </c>
      <c r="G7" s="24" t="s">
        <v>113</v>
      </c>
      <c r="H7" s="4"/>
    </row>
    <row r="8" spans="1:8" ht="33" customHeight="1" x14ac:dyDescent="0.25">
      <c r="A8" s="18" t="s">
        <v>68</v>
      </c>
      <c r="B8" s="22"/>
      <c r="C8" s="28"/>
      <c r="D8" s="29"/>
      <c r="E8" s="28"/>
      <c r="F8" s="29"/>
      <c r="G8" s="24"/>
      <c r="H8" s="4"/>
    </row>
    <row r="9" spans="1:8" ht="33" customHeight="1" x14ac:dyDescent="0.25">
      <c r="A9" s="18" t="s">
        <v>70</v>
      </c>
      <c r="B9" s="22"/>
      <c r="C9" s="28"/>
      <c r="D9" s="29"/>
      <c r="E9" s="28"/>
      <c r="F9" s="29"/>
      <c r="G9" s="24"/>
      <c r="H9" s="4"/>
    </row>
    <row r="10" spans="1:8" ht="33" customHeight="1" x14ac:dyDescent="0.25">
      <c r="A10" s="18" t="s">
        <v>74</v>
      </c>
      <c r="B10" s="22"/>
      <c r="C10" s="28"/>
      <c r="D10" s="29"/>
      <c r="E10" s="28"/>
      <c r="F10" s="29"/>
      <c r="G10" s="24"/>
      <c r="H10" s="4"/>
    </row>
    <row r="11" spans="1:8" ht="33" customHeight="1" x14ac:dyDescent="0.25">
      <c r="A11" s="18" t="s">
        <v>78</v>
      </c>
      <c r="B11" s="22"/>
      <c r="C11" s="28"/>
      <c r="D11" s="29"/>
      <c r="E11" s="28"/>
      <c r="F11" s="29"/>
      <c r="G11" s="24"/>
      <c r="H11" s="4"/>
    </row>
    <row r="12" spans="1:8" ht="33" customHeight="1" x14ac:dyDescent="0.25">
      <c r="A12" s="18" t="s">
        <v>80</v>
      </c>
      <c r="B12" s="22"/>
      <c r="C12" s="28"/>
      <c r="D12" s="29"/>
      <c r="E12" s="28"/>
      <c r="F12" s="29"/>
      <c r="G12" s="24"/>
      <c r="H12" s="4"/>
    </row>
    <row r="13" spans="1:8" ht="33" customHeight="1" x14ac:dyDescent="0.25">
      <c r="A13" s="18" t="s">
        <v>81</v>
      </c>
      <c r="B13" s="22"/>
      <c r="C13" s="28"/>
      <c r="D13" s="29"/>
      <c r="E13" s="28"/>
      <c r="F13" s="29"/>
      <c r="G13" s="24"/>
      <c r="H13" s="4"/>
    </row>
    <row r="14" spans="1:8" ht="33" customHeight="1" x14ac:dyDescent="0.25">
      <c r="A14" s="18" t="s">
        <v>82</v>
      </c>
      <c r="B14" s="22"/>
      <c r="C14" s="28"/>
      <c r="D14" s="29"/>
      <c r="E14" s="28"/>
      <c r="F14" s="29"/>
      <c r="G14" s="24"/>
      <c r="H14" s="4"/>
    </row>
    <row r="15" spans="1:8" ht="33" customHeight="1" x14ac:dyDescent="0.25">
      <c r="A15" s="18" t="s">
        <v>83</v>
      </c>
      <c r="B15" s="22"/>
      <c r="C15" s="28"/>
      <c r="D15" s="29"/>
      <c r="E15" s="28"/>
      <c r="F15" s="29"/>
      <c r="G15" s="24"/>
      <c r="H15" s="4" t="s">
        <v>114</v>
      </c>
    </row>
    <row r="16" spans="1:8" ht="33" customHeight="1" x14ac:dyDescent="0.25">
      <c r="A16" s="18" t="s">
        <v>84</v>
      </c>
      <c r="B16" s="22"/>
      <c r="C16" s="28">
        <v>17440</v>
      </c>
      <c r="D16" s="29">
        <v>2</v>
      </c>
      <c r="E16" s="28"/>
      <c r="F16" s="29"/>
      <c r="G16" s="24"/>
      <c r="H16" s="4"/>
    </row>
    <row r="17" spans="1:8" ht="33" customHeight="1" x14ac:dyDescent="0.25">
      <c r="A17" s="18" t="s">
        <v>85</v>
      </c>
      <c r="B17" s="22"/>
      <c r="C17" s="28" t="s">
        <v>115</v>
      </c>
      <c r="D17" s="29">
        <v>1</v>
      </c>
      <c r="E17" s="28"/>
      <c r="F17" s="29"/>
      <c r="G17" s="24" t="s">
        <v>113</v>
      </c>
      <c r="H17" s="4"/>
    </row>
    <row r="18" spans="1:8" ht="33" customHeight="1" x14ac:dyDescent="0.25">
      <c r="A18" s="18" t="s">
        <v>87</v>
      </c>
      <c r="B18" s="22"/>
      <c r="C18" s="28"/>
      <c r="D18" s="29"/>
      <c r="E18" s="28"/>
      <c r="F18" s="29"/>
      <c r="G18" s="24"/>
      <c r="H18" s="4"/>
    </row>
    <row r="19" spans="1:8" ht="33" customHeight="1" x14ac:dyDescent="0.25">
      <c r="A19" s="18" t="s">
        <v>89</v>
      </c>
      <c r="B19" s="22"/>
      <c r="C19" s="28"/>
      <c r="D19" s="29"/>
      <c r="E19" s="28"/>
      <c r="F19" s="29"/>
      <c r="G19" s="24"/>
      <c r="H19" s="4"/>
    </row>
    <row r="20" spans="1:8" ht="33" customHeight="1" x14ac:dyDescent="0.25">
      <c r="A20" s="18" t="s">
        <v>90</v>
      </c>
      <c r="B20" s="22"/>
      <c r="C20" s="28"/>
      <c r="D20" s="29"/>
      <c r="E20" s="28"/>
      <c r="F20" s="29"/>
      <c r="G20" s="24"/>
      <c r="H20" s="4" t="s">
        <v>116</v>
      </c>
    </row>
    <row r="21" spans="1:8" ht="33" customHeight="1" x14ac:dyDescent="0.25">
      <c r="A21" s="18" t="s">
        <v>92</v>
      </c>
      <c r="B21" s="22"/>
      <c r="C21" s="28"/>
      <c r="D21" s="29"/>
      <c r="E21" s="28"/>
      <c r="F21" s="29"/>
      <c r="G21" s="24"/>
      <c r="H21" s="4"/>
    </row>
    <row r="22" spans="1:8" ht="33" customHeight="1" x14ac:dyDescent="0.25">
      <c r="A22" s="18" t="s">
        <v>93</v>
      </c>
      <c r="B22" s="22"/>
      <c r="C22" s="28"/>
      <c r="D22" s="29"/>
      <c r="E22" s="28"/>
      <c r="F22" s="29"/>
      <c r="G22" s="24"/>
      <c r="H22" s="4"/>
    </row>
    <row r="23" spans="1:8" ht="33" customHeight="1" thickBot="1" x14ac:dyDescent="0.3">
      <c r="A23" s="18" t="s">
        <v>94</v>
      </c>
      <c r="B23" s="22"/>
      <c r="C23" s="30"/>
      <c r="D23" s="31"/>
      <c r="E23" s="30"/>
      <c r="F23" s="31"/>
      <c r="G23" s="24"/>
      <c r="H23" s="4"/>
    </row>
    <row r="24" spans="1:8" ht="33" customHeight="1" x14ac:dyDescent="0.25">
      <c r="A24" s="18" t="s">
        <v>95</v>
      </c>
      <c r="B24" s="4"/>
      <c r="C24" s="25"/>
      <c r="D24" s="25"/>
      <c r="E24" s="25"/>
      <c r="F24" s="25"/>
      <c r="G24" s="4"/>
      <c r="H24" s="4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MTTO PREVENTIVO 1500kl</vt:lpstr>
      <vt:lpstr>MTTO PREVENTIVO 5000kl </vt:lpstr>
      <vt:lpstr>BATERIAS </vt:lpstr>
      <vt:lpstr>CAUCHOS SENCILLO  </vt:lpstr>
      <vt:lpstr>BANDAS </vt:lpstr>
      <vt:lpstr>CORREAS </vt:lpstr>
      <vt:lpstr>IMPREMENTOS </vt:lpstr>
      <vt:lpstr>TIPOS DE ACEITE </vt:lpstr>
      <vt:lpstr>TIPOS DE CORREAS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VELASQUEZ</dc:creator>
  <cp:lastModifiedBy>clavellino clavellino</cp:lastModifiedBy>
  <cp:lastPrinted>2025-02-10T15:14:07Z</cp:lastPrinted>
  <dcterms:created xsi:type="dcterms:W3CDTF">2025-01-15T13:45:06Z</dcterms:created>
  <dcterms:modified xsi:type="dcterms:W3CDTF">2026-04-16T18:46:28Z</dcterms:modified>
</cp:coreProperties>
</file>