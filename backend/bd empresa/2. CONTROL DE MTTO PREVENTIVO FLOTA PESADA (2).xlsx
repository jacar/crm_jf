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clave\OneDrive\Desktop\CONTROL DE MTTO\"/>
    </mc:Choice>
  </mc:AlternateContent>
  <xr:revisionPtr revIDLastSave="0" documentId="13_ncr:1_{330F1777-D123-458D-A736-8420CF6AB638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INSTRUCTIVO " sheetId="4" r:id="rId1"/>
    <sheet name="MTTO PREVENTIVO" sheetId="1" r:id="rId2"/>
    <sheet name="CAUCHOS BUSES " sheetId="3" r:id="rId3"/>
    <sheet name="BATERIAS " sheetId="2" r:id="rId4"/>
    <sheet name="BANDAS " sheetId="6" r:id="rId5"/>
    <sheet name="CORREAS " sheetId="7" r:id="rId6"/>
    <sheet name="IMPREMENTOS " sheetId="10" r:id="rId7"/>
    <sheet name="TIPOS DE ACEITE " sheetId="8" r:id="rId8"/>
    <sheet name="TIPOS DE CORREAS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7" i="1" l="1"/>
  <c r="AJ19" i="1" l="1"/>
  <c r="AG19" i="1"/>
  <c r="AD19" i="1"/>
  <c r="AA19" i="1"/>
  <c r="X19" i="1"/>
  <c r="U19" i="1"/>
  <c r="R19" i="1"/>
  <c r="O19" i="1"/>
  <c r="L19" i="1"/>
  <c r="G19" i="1"/>
  <c r="F19" i="1"/>
  <c r="F18" i="1"/>
  <c r="G18" i="1"/>
  <c r="L18" i="1"/>
  <c r="O18" i="1"/>
  <c r="R18" i="1"/>
  <c r="U18" i="1"/>
  <c r="X18" i="1"/>
  <c r="AA18" i="1"/>
  <c r="AD18" i="1"/>
  <c r="AG18" i="1"/>
  <c r="F29" i="1"/>
  <c r="F55" i="1" l="1"/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U58" i="1"/>
  <c r="R58" i="1"/>
  <c r="L28" i="1"/>
  <c r="AJ4" i="1" l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AG56" i="1"/>
  <c r="AA56" i="1"/>
  <c r="U56" i="1"/>
  <c r="R56" i="1"/>
  <c r="L56" i="1"/>
  <c r="F56" i="1"/>
  <c r="AG54" i="1"/>
  <c r="L54" i="1"/>
  <c r="F54" i="1"/>
  <c r="AG53" i="1"/>
  <c r="AD53" i="1"/>
  <c r="AA53" i="1"/>
  <c r="X53" i="1"/>
  <c r="U53" i="1"/>
  <c r="R53" i="1"/>
  <c r="L53" i="1"/>
  <c r="F53" i="1"/>
  <c r="X52" i="1"/>
  <c r="AA52" i="1"/>
  <c r="U52" i="1"/>
  <c r="R52" i="1"/>
  <c r="L52" i="1"/>
  <c r="F52" i="1"/>
  <c r="AG51" i="1"/>
  <c r="AD51" i="1"/>
  <c r="AA51" i="1"/>
  <c r="X51" i="1"/>
  <c r="U51" i="1"/>
  <c r="R51" i="1"/>
  <c r="L51" i="1"/>
  <c r="F51" i="1"/>
  <c r="AG50" i="1"/>
  <c r="AD50" i="1"/>
  <c r="AA50" i="1"/>
  <c r="X50" i="1"/>
  <c r="U50" i="1"/>
  <c r="R50" i="1"/>
  <c r="L50" i="1"/>
  <c r="F50" i="1"/>
  <c r="AG49" i="1"/>
  <c r="AD49" i="1"/>
  <c r="AA49" i="1"/>
  <c r="X49" i="1"/>
  <c r="U49" i="1"/>
  <c r="R49" i="1"/>
  <c r="L49" i="1"/>
  <c r="F49" i="1"/>
  <c r="AG48" i="1"/>
  <c r="AD48" i="1"/>
  <c r="AA48" i="1"/>
  <c r="X48" i="1"/>
  <c r="U48" i="1"/>
  <c r="R48" i="1"/>
  <c r="L48" i="1"/>
  <c r="F48" i="1"/>
  <c r="AG47" i="1"/>
  <c r="AD47" i="1"/>
  <c r="AA47" i="1"/>
  <c r="X47" i="1"/>
  <c r="U47" i="1"/>
  <c r="R47" i="1"/>
  <c r="L47" i="1"/>
  <c r="F47" i="1"/>
  <c r="AG46" i="1"/>
  <c r="AA46" i="1"/>
  <c r="U46" i="1"/>
  <c r="R46" i="1"/>
  <c r="AD46" i="1"/>
  <c r="X46" i="1"/>
  <c r="L46" i="1"/>
  <c r="F46" i="1"/>
  <c r="X45" i="1"/>
  <c r="AG45" i="1"/>
  <c r="AA45" i="1"/>
  <c r="U45" i="1"/>
  <c r="R45" i="1"/>
  <c r="F45" i="1"/>
  <c r="AD45" i="1"/>
  <c r="L45" i="1"/>
  <c r="AG44" i="1"/>
  <c r="AD44" i="1"/>
  <c r="AA44" i="1"/>
  <c r="X44" i="1"/>
  <c r="U44" i="1"/>
  <c r="R44" i="1"/>
  <c r="L44" i="1"/>
  <c r="F44" i="1"/>
  <c r="AG43" i="1"/>
  <c r="AD43" i="1"/>
  <c r="AA43" i="1"/>
  <c r="X43" i="1"/>
  <c r="U43" i="1"/>
  <c r="R43" i="1"/>
  <c r="L43" i="1"/>
  <c r="F43" i="1"/>
  <c r="AG42" i="1"/>
  <c r="AD42" i="1"/>
  <c r="AA42" i="1"/>
  <c r="X42" i="1"/>
  <c r="U42" i="1"/>
  <c r="R42" i="1"/>
  <c r="L42" i="1"/>
  <c r="F42" i="1"/>
  <c r="AG41" i="1"/>
  <c r="AD41" i="1"/>
  <c r="AA41" i="1"/>
  <c r="X41" i="1"/>
  <c r="U41" i="1"/>
  <c r="R41" i="1"/>
  <c r="L41" i="1"/>
  <c r="F41" i="1"/>
  <c r="AG40" i="1"/>
  <c r="AD40" i="1"/>
  <c r="AA40" i="1"/>
  <c r="X40" i="1"/>
  <c r="U40" i="1"/>
  <c r="R40" i="1"/>
  <c r="L40" i="1"/>
  <c r="F40" i="1"/>
  <c r="AG39" i="1"/>
  <c r="AD39" i="1"/>
  <c r="AA39" i="1"/>
  <c r="X39" i="1"/>
  <c r="U39" i="1"/>
  <c r="R39" i="1"/>
  <c r="L39" i="1"/>
  <c r="F39" i="1"/>
  <c r="AG38" i="1"/>
  <c r="AD38" i="1"/>
  <c r="AA38" i="1"/>
  <c r="X38" i="1"/>
  <c r="U38" i="1"/>
  <c r="R38" i="1"/>
  <c r="L38" i="1"/>
  <c r="F38" i="1"/>
  <c r="AG37" i="1" l="1"/>
  <c r="AD37" i="1"/>
  <c r="AA37" i="1"/>
  <c r="X37" i="1"/>
  <c r="U37" i="1"/>
  <c r="R37" i="1"/>
  <c r="L37" i="1"/>
  <c r="F37" i="1"/>
  <c r="AG36" i="1"/>
  <c r="AD36" i="1"/>
  <c r="AA36" i="1"/>
  <c r="X36" i="1"/>
  <c r="U36" i="1"/>
  <c r="R36" i="1"/>
  <c r="L36" i="1"/>
  <c r="F36" i="1"/>
  <c r="AG35" i="1"/>
  <c r="AD35" i="1"/>
  <c r="AA35" i="1"/>
  <c r="X35" i="1"/>
  <c r="U35" i="1"/>
  <c r="R35" i="1"/>
  <c r="L35" i="1"/>
  <c r="F35" i="1"/>
  <c r="AG34" i="1"/>
  <c r="AD34" i="1"/>
  <c r="AA34" i="1"/>
  <c r="X34" i="1"/>
  <c r="U34" i="1"/>
  <c r="R34" i="1"/>
  <c r="L34" i="1"/>
  <c r="F34" i="1"/>
  <c r="AG33" i="1"/>
  <c r="AD33" i="1"/>
  <c r="AA33" i="1"/>
  <c r="X33" i="1"/>
  <c r="U33" i="1"/>
  <c r="R33" i="1"/>
  <c r="L33" i="1"/>
  <c r="F33" i="1"/>
  <c r="F32" i="1" l="1"/>
  <c r="R31" i="1" l="1"/>
  <c r="R32" i="1"/>
  <c r="F31" i="1"/>
  <c r="AG30" i="1" l="1"/>
  <c r="AD30" i="1"/>
  <c r="AA30" i="1"/>
  <c r="X30" i="1"/>
  <c r="U30" i="1"/>
  <c r="R30" i="1"/>
  <c r="L30" i="1"/>
  <c r="F30" i="1"/>
  <c r="AG29" i="1" l="1"/>
  <c r="AD29" i="1"/>
  <c r="AA29" i="1"/>
  <c r="X29" i="1"/>
  <c r="U29" i="1"/>
  <c r="R29" i="1"/>
  <c r="L29" i="1"/>
  <c r="AG28" i="1"/>
  <c r="AD28" i="1"/>
  <c r="AA28" i="1"/>
  <c r="X28" i="1"/>
  <c r="U28" i="1"/>
  <c r="R28" i="1"/>
  <c r="F28" i="1"/>
  <c r="AG27" i="1"/>
  <c r="AD27" i="1"/>
  <c r="AA27" i="1"/>
  <c r="X27" i="1"/>
  <c r="U27" i="1"/>
  <c r="R27" i="1"/>
  <c r="L27" i="1"/>
  <c r="F27" i="1"/>
  <c r="X26" i="1" l="1"/>
  <c r="AA26" i="1"/>
  <c r="U26" i="1"/>
  <c r="R26" i="1"/>
  <c r="F26" i="1"/>
  <c r="L26" i="1"/>
  <c r="AG25" i="1" l="1"/>
  <c r="AD25" i="1"/>
  <c r="AA25" i="1"/>
  <c r="X25" i="1"/>
  <c r="U25" i="1"/>
  <c r="R25" i="1"/>
  <c r="L25" i="1"/>
  <c r="F25" i="1"/>
  <c r="AG24" i="1"/>
  <c r="AD24" i="1"/>
  <c r="AA24" i="1"/>
  <c r="X24" i="1"/>
  <c r="U24" i="1"/>
  <c r="R24" i="1"/>
  <c r="L24" i="1"/>
  <c r="F24" i="1"/>
  <c r="AG23" i="1"/>
  <c r="AD23" i="1"/>
  <c r="AA23" i="1"/>
  <c r="X23" i="1"/>
  <c r="U23" i="1"/>
  <c r="R23" i="1"/>
  <c r="L23" i="1"/>
  <c r="F23" i="1"/>
  <c r="AG22" i="1"/>
  <c r="AD22" i="1"/>
  <c r="AA22" i="1"/>
  <c r="X22" i="1"/>
  <c r="U22" i="1"/>
  <c r="R22" i="1"/>
  <c r="L22" i="1"/>
  <c r="F22" i="1"/>
  <c r="AG21" i="1"/>
  <c r="AD21" i="1"/>
  <c r="AA21" i="1"/>
  <c r="X21" i="1"/>
  <c r="U21" i="1"/>
  <c r="R21" i="1"/>
  <c r="L21" i="1"/>
  <c r="F21" i="1"/>
  <c r="AG20" i="1"/>
  <c r="AD20" i="1"/>
  <c r="AA20" i="1"/>
  <c r="X20" i="1"/>
  <c r="U20" i="1"/>
  <c r="R20" i="1"/>
  <c r="L20" i="1"/>
  <c r="F20" i="1"/>
  <c r="AG17" i="1"/>
  <c r="AD17" i="1"/>
  <c r="AA17" i="1"/>
  <c r="X17" i="1"/>
  <c r="U17" i="1"/>
  <c r="R17" i="1"/>
  <c r="L17" i="1"/>
  <c r="F17" i="1"/>
  <c r="F57" i="1"/>
  <c r="U31" i="1"/>
  <c r="U54" i="1"/>
  <c r="U55" i="1"/>
  <c r="U57" i="1"/>
  <c r="R54" i="1"/>
  <c r="R55" i="1"/>
  <c r="R57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31" i="1"/>
  <c r="L32" i="1"/>
  <c r="L55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26" i="1"/>
  <c r="AD31" i="1"/>
  <c r="AD32" i="1"/>
  <c r="AD52" i="1"/>
  <c r="AD54" i="1"/>
  <c r="AD55" i="1"/>
  <c r="AD56" i="1"/>
  <c r="AD57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31" i="1"/>
  <c r="AA32" i="1"/>
  <c r="AA54" i="1"/>
  <c r="AA55" i="1"/>
  <c r="AA57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31" i="1"/>
  <c r="X32" i="1"/>
  <c r="X54" i="1"/>
  <c r="X55" i="1"/>
  <c r="X56" i="1"/>
  <c r="X57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26" i="1"/>
  <c r="AG31" i="1"/>
  <c r="AG32" i="1"/>
  <c r="AG52" i="1"/>
  <c r="AG55" i="1"/>
  <c r="AG5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Y66" i="3" l="1"/>
  <c r="C47" i="2" l="1"/>
  <c r="M30" i="3"/>
  <c r="G7" i="3" l="1"/>
  <c r="AP5" i="3"/>
  <c r="AP6" i="3"/>
  <c r="AP7" i="3"/>
  <c r="AP8" i="3"/>
  <c r="AP9" i="3"/>
  <c r="AP10" i="3"/>
  <c r="AP11" i="3"/>
  <c r="AP12" i="3"/>
  <c r="AP13" i="3"/>
  <c r="AP14" i="3"/>
  <c r="AP15" i="3"/>
  <c r="AP16" i="3"/>
  <c r="AP18" i="3"/>
  <c r="AP19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7" i="3"/>
  <c r="AP38" i="3"/>
  <c r="AP41" i="3"/>
  <c r="AP42" i="3"/>
  <c r="AP43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9" i="3"/>
  <c r="AP60" i="3"/>
  <c r="AP61" i="3"/>
  <c r="AP62" i="3"/>
  <c r="AP63" i="3"/>
  <c r="AP64" i="3"/>
  <c r="AP66" i="3"/>
  <c r="AP70" i="3"/>
  <c r="AP71" i="3"/>
  <c r="G13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7" i="3"/>
  <c r="AK38" i="3"/>
  <c r="AK41" i="3"/>
  <c r="AK42" i="3"/>
  <c r="AK43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9" i="3"/>
  <c r="AK60" i="3"/>
  <c r="AK61" i="3"/>
  <c r="AK62" i="3"/>
  <c r="AK63" i="3"/>
  <c r="AK64" i="3"/>
  <c r="AK66" i="3"/>
  <c r="AK70" i="3"/>
  <c r="AK7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7" i="3"/>
  <c r="AE38" i="3"/>
  <c r="AE41" i="3"/>
  <c r="AE42" i="3"/>
  <c r="AE43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9" i="3"/>
  <c r="AE60" i="3"/>
  <c r="AE61" i="3"/>
  <c r="AE62" i="3"/>
  <c r="AE63" i="3"/>
  <c r="AE64" i="3"/>
  <c r="AE66" i="3"/>
  <c r="AE70" i="3"/>
  <c r="AE7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7" i="3"/>
  <c r="Y38" i="3"/>
  <c r="Y41" i="3"/>
  <c r="Y42" i="3"/>
  <c r="Y43" i="3"/>
  <c r="Y46" i="3"/>
  <c r="Y47" i="3"/>
  <c r="Y48" i="3"/>
  <c r="Y49" i="3"/>
  <c r="Y50" i="3"/>
  <c r="Y51" i="3"/>
  <c r="Y52" i="3"/>
  <c r="Y53" i="3"/>
  <c r="Y54" i="3"/>
  <c r="Y55" i="3"/>
  <c r="Y56" i="3"/>
  <c r="Y57" i="3"/>
  <c r="Y59" i="3"/>
  <c r="Y60" i="3"/>
  <c r="Y61" i="3"/>
  <c r="Y62" i="3"/>
  <c r="Y63" i="3"/>
  <c r="Y64" i="3"/>
  <c r="Y70" i="3"/>
  <c r="Y7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7" i="3"/>
  <c r="S38" i="3"/>
  <c r="S41" i="3"/>
  <c r="S42" i="3"/>
  <c r="S43" i="3"/>
  <c r="S46" i="3"/>
  <c r="S47" i="3"/>
  <c r="S48" i="3"/>
  <c r="S49" i="3"/>
  <c r="S50" i="3"/>
  <c r="S51" i="3"/>
  <c r="S52" i="3"/>
  <c r="S53" i="3"/>
  <c r="S54" i="3"/>
  <c r="S55" i="3"/>
  <c r="S56" i="3"/>
  <c r="S57" i="3"/>
  <c r="S59" i="3"/>
  <c r="S60" i="3"/>
  <c r="S61" i="3"/>
  <c r="S62" i="3"/>
  <c r="S63" i="3"/>
  <c r="S64" i="3"/>
  <c r="S66" i="3"/>
  <c r="S70" i="3"/>
  <c r="S71" i="3"/>
  <c r="M22" i="3"/>
  <c r="M23" i="3"/>
  <c r="M24" i="3"/>
  <c r="M25" i="3"/>
  <c r="M26" i="3"/>
  <c r="M27" i="3"/>
  <c r="M28" i="3"/>
  <c r="M29" i="3"/>
  <c r="M31" i="3"/>
  <c r="M32" i="3"/>
  <c r="M33" i="3"/>
  <c r="M34" i="3"/>
  <c r="M37" i="3"/>
  <c r="M38" i="3"/>
  <c r="M41" i="3"/>
  <c r="M42" i="3"/>
  <c r="M43" i="3"/>
  <c r="M46" i="3"/>
  <c r="M47" i="3"/>
  <c r="M48" i="3"/>
  <c r="M49" i="3"/>
  <c r="M50" i="3"/>
  <c r="M51" i="3"/>
  <c r="M52" i="3"/>
  <c r="M53" i="3"/>
  <c r="M54" i="3"/>
  <c r="M55" i="3"/>
  <c r="M56" i="3"/>
  <c r="M57" i="3"/>
  <c r="M59" i="3"/>
  <c r="M60" i="3"/>
  <c r="M61" i="3"/>
  <c r="M62" i="3"/>
  <c r="M63" i="3"/>
  <c r="M64" i="3"/>
  <c r="M66" i="3"/>
  <c r="M70" i="3"/>
  <c r="M7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7" i="3"/>
  <c r="G38" i="3"/>
  <c r="G41" i="3"/>
  <c r="G42" i="3"/>
  <c r="G43" i="3"/>
  <c r="G46" i="3"/>
  <c r="G47" i="3"/>
  <c r="G48" i="3"/>
  <c r="G49" i="3"/>
  <c r="G50" i="3"/>
  <c r="G51" i="3"/>
  <c r="G52" i="3"/>
  <c r="G53" i="3"/>
  <c r="G54" i="3"/>
  <c r="G55" i="3"/>
  <c r="G56" i="3"/>
  <c r="G57" i="3"/>
  <c r="G59" i="3"/>
  <c r="G60" i="3"/>
  <c r="G61" i="3"/>
  <c r="G62" i="3"/>
  <c r="G63" i="3"/>
  <c r="G64" i="3"/>
  <c r="G66" i="3"/>
  <c r="G70" i="3"/>
  <c r="G71" i="3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9" i="2"/>
  <c r="C40" i="2"/>
  <c r="C41" i="2"/>
  <c r="C42" i="2"/>
  <c r="C45" i="2"/>
  <c r="C46" i="2"/>
  <c r="C48" i="2"/>
  <c r="C49" i="2"/>
  <c r="C50" i="2"/>
  <c r="C51" i="2"/>
  <c r="C52" i="2"/>
  <c r="C53" i="2"/>
  <c r="C54" i="2"/>
  <c r="C55" i="2"/>
  <c r="C56" i="2"/>
  <c r="C58" i="2"/>
  <c r="C59" i="2"/>
  <c r="C60" i="2"/>
  <c r="C61" i="2"/>
  <c r="C62" i="2"/>
  <c r="C63" i="2"/>
  <c r="C65" i="2"/>
  <c r="AK5" i="3"/>
  <c r="AK6" i="3"/>
  <c r="AK7" i="3"/>
  <c r="AK8" i="3"/>
  <c r="AK9" i="3"/>
  <c r="AK10" i="3"/>
  <c r="AK11" i="3"/>
  <c r="AK12" i="3"/>
  <c r="AK13" i="3"/>
  <c r="AK14" i="3"/>
  <c r="AK15" i="3"/>
  <c r="AK16" i="3"/>
  <c r="AK18" i="3"/>
  <c r="AK19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8" i="3"/>
  <c r="AE19" i="3"/>
  <c r="Y5" i="3"/>
  <c r="Y6" i="3"/>
  <c r="Y7" i="3"/>
  <c r="Y8" i="3"/>
  <c r="Y9" i="3"/>
  <c r="Y10" i="3"/>
  <c r="Y11" i="3"/>
  <c r="Y12" i="3"/>
  <c r="Y13" i="3"/>
  <c r="Y14" i="3"/>
  <c r="Y15" i="3"/>
  <c r="Y16" i="3"/>
  <c r="Y18" i="3"/>
  <c r="Y19" i="3"/>
  <c r="S5" i="3"/>
  <c r="S6" i="3"/>
  <c r="S7" i="3"/>
  <c r="S8" i="3"/>
  <c r="S9" i="3"/>
  <c r="S10" i="3"/>
  <c r="S11" i="3"/>
  <c r="S12" i="3"/>
  <c r="S13" i="3"/>
  <c r="S14" i="3"/>
  <c r="S15" i="3"/>
  <c r="S16" i="3"/>
  <c r="S18" i="3"/>
  <c r="S19" i="3"/>
  <c r="M5" i="3"/>
  <c r="M6" i="3"/>
  <c r="M7" i="3"/>
  <c r="M8" i="3"/>
  <c r="M9" i="3"/>
  <c r="M10" i="3"/>
  <c r="M11" i="3"/>
  <c r="M12" i="3"/>
  <c r="M13" i="3"/>
  <c r="M14" i="3"/>
  <c r="M15" i="3"/>
  <c r="M16" i="3"/>
  <c r="M18" i="3"/>
  <c r="M19" i="3"/>
  <c r="G5" i="3"/>
  <c r="G6" i="3"/>
  <c r="G8" i="3"/>
  <c r="G9" i="3"/>
  <c r="G10" i="3"/>
  <c r="G11" i="3"/>
  <c r="G12" i="3"/>
  <c r="G14" i="3"/>
  <c r="G15" i="3"/>
  <c r="G16" i="3"/>
  <c r="G18" i="3"/>
  <c r="G19" i="3"/>
  <c r="C4" i="2"/>
  <c r="C5" i="2"/>
  <c r="C6" i="2"/>
  <c r="C7" i="2"/>
  <c r="C8" i="2"/>
  <c r="C9" i="2"/>
  <c r="C10" i="2"/>
  <c r="C11" i="2"/>
  <c r="C12" i="2"/>
  <c r="C13" i="2"/>
  <c r="C14" i="2"/>
  <c r="C15" i="2"/>
</calcChain>
</file>

<file path=xl/sharedStrings.xml><?xml version="1.0" encoding="utf-8"?>
<sst xmlns="http://schemas.openxmlformats.org/spreadsheetml/2006/main" count="1305" uniqueCount="425">
  <si>
    <t>N°</t>
  </si>
  <si>
    <t>PLACAS</t>
  </si>
  <si>
    <t xml:space="preserve">KM ACTUAL </t>
  </si>
  <si>
    <t>RECORRIDO</t>
  </si>
  <si>
    <t xml:space="preserve">KM ULTIMO CAMBIO </t>
  </si>
  <si>
    <t>FECHA</t>
  </si>
  <si>
    <t xml:space="preserve">KM PROX CAMBIO </t>
  </si>
  <si>
    <t xml:space="preserve">FECHA </t>
  </si>
  <si>
    <t xml:space="preserve">FILTRO  DE GASOIL </t>
  </si>
  <si>
    <t xml:space="preserve">GRADUACION DE FRENOS </t>
  </si>
  <si>
    <t xml:space="preserve">ROTACION DE CAUCHO </t>
  </si>
  <si>
    <t xml:space="preserve">KM ULTIMA ROTACION </t>
  </si>
  <si>
    <t xml:space="preserve">KM PROX ROTACION </t>
  </si>
  <si>
    <t>KM ULTIMO ENGRASE</t>
  </si>
  <si>
    <t xml:space="preserve">KM PROX ENGRASE </t>
  </si>
  <si>
    <t xml:space="preserve">KM ULTIMO GRADUACION </t>
  </si>
  <si>
    <t xml:space="preserve">KM PROX GRADUACION  </t>
  </si>
  <si>
    <t>KM ULTIM LIMPIEZA</t>
  </si>
  <si>
    <t>KM PROX LIMPIEZA</t>
  </si>
  <si>
    <t>KM DEL CHEQUEO</t>
  </si>
  <si>
    <t xml:space="preserve">KM ULTIMO SERVICIO </t>
  </si>
  <si>
    <t xml:space="preserve">KM PROX SERVICIO </t>
  </si>
  <si>
    <t xml:space="preserve">LAVADO DE MOTOR Y CHASIS </t>
  </si>
  <si>
    <t>SERIAL</t>
  </si>
  <si>
    <t>AMP</t>
  </si>
  <si>
    <t>MARCA</t>
  </si>
  <si>
    <t xml:space="preserve">KM DE CAMBIO </t>
  </si>
  <si>
    <t xml:space="preserve">CAMBIO DE ACEITE </t>
  </si>
  <si>
    <t xml:space="preserve">CAMBIO FILTRO ACEITE </t>
  </si>
  <si>
    <t xml:space="preserve">CAMBIO FILTRO DE GASOIL </t>
  </si>
  <si>
    <t xml:space="preserve">CAMBIO FILTRO DE AIRE </t>
  </si>
  <si>
    <t>ENGRASE</t>
  </si>
  <si>
    <t>GRADUACION DE FRENOS</t>
  </si>
  <si>
    <t>LIMPIEZA DE FILTRO INTERNO</t>
  </si>
  <si>
    <t>LIMPIEZA DE TANQUE</t>
  </si>
  <si>
    <t xml:space="preserve">ROTACION DE CAUCHOS </t>
  </si>
  <si>
    <t>BATERIA</t>
  </si>
  <si>
    <t xml:space="preserve">AÑO </t>
  </si>
  <si>
    <t>CODIGO</t>
  </si>
  <si>
    <t>COPILOTO</t>
  </si>
  <si>
    <t>DELANTERA</t>
  </si>
  <si>
    <t xml:space="preserve"> TRASERA INTERNA </t>
  </si>
  <si>
    <t>TRASERA EXTERNA</t>
  </si>
  <si>
    <t>TRASERA INTERNA</t>
  </si>
  <si>
    <t>CONTROL DE BATERIAS</t>
  </si>
  <si>
    <t xml:space="preserve">PURGADO BOMBONAS DE FRENO </t>
  </si>
  <si>
    <t>FILTRO DE AIRE MOTOR</t>
  </si>
  <si>
    <t>LIMPIEZA FILTRO INTERNO  A/A</t>
  </si>
  <si>
    <t xml:space="preserve">LIMPIEZA DE TANQUE COMBUSTIBLE </t>
  </si>
  <si>
    <t xml:space="preserve">ENGRASE </t>
  </si>
  <si>
    <t>DESCRIPCION</t>
  </si>
  <si>
    <t xml:space="preserve">KM ESTABLECIDO DE CAMBIO  </t>
  </si>
  <si>
    <t xml:space="preserve">ESTADO </t>
  </si>
  <si>
    <t xml:space="preserve">FECHA VENCIMIENTO GARANTIA  </t>
  </si>
  <si>
    <t xml:space="preserve">MARCA </t>
  </si>
  <si>
    <t>ESTADO</t>
  </si>
  <si>
    <t xml:space="preserve">KM  ULTIMO CAMBIO  </t>
  </si>
  <si>
    <t>ESTADO DE BANDAS / PASTILLAS  DELANTERAS PILOTO</t>
  </si>
  <si>
    <t>ESTADO DE BANDAS / PASTILLAS  DELANTERAS COPILOTO</t>
  </si>
  <si>
    <t>ESTADO DE BANDAS /PASTILLAS  TRASERAS   PILOTO</t>
  </si>
  <si>
    <t>ESTADO DE BANDAS / PASTILLAS  TRASERAS COPILOTO</t>
  </si>
  <si>
    <t>CORREA DE LA PLANTA</t>
  </si>
  <si>
    <t>CORREAS DE MOTOR</t>
  </si>
  <si>
    <t>CORREAS DEL COMPRESOR A/A</t>
  </si>
  <si>
    <t xml:space="preserve">CORREA UNICA </t>
  </si>
  <si>
    <t xml:space="preserve">CUANDO CUMPLA SU VIDA UTIL </t>
  </si>
  <si>
    <t>UNIDAD</t>
  </si>
  <si>
    <t>ACEITE</t>
  </si>
  <si>
    <t xml:space="preserve">NOMENCLATURA </t>
  </si>
  <si>
    <t xml:space="preserve">CANTIDAD </t>
  </si>
  <si>
    <t>FILTRO</t>
  </si>
  <si>
    <t>ENT - 900</t>
  </si>
  <si>
    <t>SEMI SINTETICO</t>
  </si>
  <si>
    <t>15W 40</t>
  </si>
  <si>
    <t xml:space="preserve">MOBIL </t>
  </si>
  <si>
    <t xml:space="preserve">14 LITROS </t>
  </si>
  <si>
    <t>ENT -610</t>
  </si>
  <si>
    <t>ENT - 710</t>
  </si>
  <si>
    <t xml:space="preserve">18 LITROS </t>
  </si>
  <si>
    <t xml:space="preserve">HIGER </t>
  </si>
  <si>
    <t>G 7</t>
  </si>
  <si>
    <t xml:space="preserve">46 LITROS </t>
  </si>
  <si>
    <t>L200  D</t>
  </si>
  <si>
    <t xml:space="preserve">MINERAL </t>
  </si>
  <si>
    <t>SHELL RIMULA R4</t>
  </si>
  <si>
    <t xml:space="preserve">7 LITROS </t>
  </si>
  <si>
    <t xml:space="preserve">4 RUNNER </t>
  </si>
  <si>
    <t>FULL SINTETICO</t>
  </si>
  <si>
    <t>5W 30</t>
  </si>
  <si>
    <t>SHELL</t>
  </si>
  <si>
    <t>RAIZE</t>
  </si>
  <si>
    <t xml:space="preserve">4 LITROS </t>
  </si>
  <si>
    <t xml:space="preserve">TUNDRA </t>
  </si>
  <si>
    <t>SANTA CRUZ</t>
  </si>
  <si>
    <t xml:space="preserve">TUCSON </t>
  </si>
  <si>
    <t>SUPER DUTTY</t>
  </si>
  <si>
    <t>SILVERADO</t>
  </si>
  <si>
    <t xml:space="preserve">FULL BACK </t>
  </si>
  <si>
    <t>7,5 LITROS</t>
  </si>
  <si>
    <t xml:space="preserve">HIACE G </t>
  </si>
  <si>
    <t>7 LITROS</t>
  </si>
  <si>
    <t>HIACE D</t>
  </si>
  <si>
    <t>H1</t>
  </si>
  <si>
    <t xml:space="preserve">4,5 LITROS </t>
  </si>
  <si>
    <t xml:space="preserve">MAXUS </t>
  </si>
  <si>
    <t>FOTON</t>
  </si>
  <si>
    <t xml:space="preserve">ENCAVA D </t>
  </si>
  <si>
    <t>COROLLA</t>
  </si>
  <si>
    <t xml:space="preserve">5 LITROS </t>
  </si>
  <si>
    <t xml:space="preserve">CORREA DE LA PLANTA </t>
  </si>
  <si>
    <t xml:space="preserve">CORREAS DE  MOTOR </t>
  </si>
  <si>
    <t xml:space="preserve">CANT </t>
  </si>
  <si>
    <t>CORREA DEL COMPRESOR A/A</t>
  </si>
  <si>
    <t>BX42</t>
  </si>
  <si>
    <t>BX60</t>
  </si>
  <si>
    <t>BX41 / BX42</t>
  </si>
  <si>
    <t>BX44</t>
  </si>
  <si>
    <t>BX46</t>
  </si>
  <si>
    <t xml:space="preserve">ENT - 710 ORIGINAL </t>
  </si>
  <si>
    <t>BX57</t>
  </si>
  <si>
    <t>BX55</t>
  </si>
  <si>
    <t>8PK1765</t>
  </si>
  <si>
    <t xml:space="preserve">ENT - 710 MODIFICADO </t>
  </si>
  <si>
    <t>BX47</t>
  </si>
  <si>
    <t>BX66</t>
  </si>
  <si>
    <t>4PK863</t>
  </si>
  <si>
    <t>6PK2687</t>
  </si>
  <si>
    <t>6PK1495</t>
  </si>
  <si>
    <t>6PK2355</t>
  </si>
  <si>
    <t>6PK1221</t>
  </si>
  <si>
    <t xml:space="preserve"> CORREA FAN CLUTCH</t>
  </si>
  <si>
    <t>AV2 X 1115</t>
  </si>
  <si>
    <t xml:space="preserve">FECHA DE COMPRA </t>
  </si>
  <si>
    <t xml:space="preserve"> ULTIMO  CHEQUEO</t>
  </si>
  <si>
    <t>AI588GK</t>
  </si>
  <si>
    <t>A42CM9K</t>
  </si>
  <si>
    <t>AB454XR</t>
  </si>
  <si>
    <t>AB453XR</t>
  </si>
  <si>
    <t>A60BK1M</t>
  </si>
  <si>
    <t>A65ET3A</t>
  </si>
  <si>
    <t>A36CC7G</t>
  </si>
  <si>
    <t>A59CF4A</t>
  </si>
  <si>
    <t>A65ET4A</t>
  </si>
  <si>
    <t>A72EX0A</t>
  </si>
  <si>
    <t>A86BE8D</t>
  </si>
  <si>
    <t>A0948AD</t>
  </si>
  <si>
    <t>A0971AD</t>
  </si>
  <si>
    <t>A0961AD</t>
  </si>
  <si>
    <t>A0962AD</t>
  </si>
  <si>
    <t>A0963AD</t>
  </si>
  <si>
    <t>A0974AD</t>
  </si>
  <si>
    <t>A0958AD</t>
  </si>
  <si>
    <t>A0966AD</t>
  </si>
  <si>
    <t>A0967AD</t>
  </si>
  <si>
    <t>A0968AD</t>
  </si>
  <si>
    <t>A0970AD</t>
  </si>
  <si>
    <t>A0965AD</t>
  </si>
  <si>
    <t>A0964AD</t>
  </si>
  <si>
    <t>A0973AD</t>
  </si>
  <si>
    <t>A0977AD</t>
  </si>
  <si>
    <t>A0982AD</t>
  </si>
  <si>
    <t>A1021AD</t>
  </si>
  <si>
    <t>A1008AD</t>
  </si>
  <si>
    <t>A1016AD</t>
  </si>
  <si>
    <t>A1011AD</t>
  </si>
  <si>
    <t>A1013AD</t>
  </si>
  <si>
    <t>A2634AG</t>
  </si>
  <si>
    <t>A2635AG</t>
  </si>
  <si>
    <t>A0016AR</t>
  </si>
  <si>
    <t>A2637AG</t>
  </si>
  <si>
    <t>A2638AG</t>
  </si>
  <si>
    <t>A2639AG</t>
  </si>
  <si>
    <t>A2640AG</t>
  </si>
  <si>
    <t>A2642AG</t>
  </si>
  <si>
    <t>A2643AG</t>
  </si>
  <si>
    <t>A2747AG</t>
  </si>
  <si>
    <t>A0872AD</t>
  </si>
  <si>
    <t>A2856AG</t>
  </si>
  <si>
    <t>A2857AG</t>
  </si>
  <si>
    <t>A2858AG</t>
  </si>
  <si>
    <t>A2859AG</t>
  </si>
  <si>
    <t>A2861AG</t>
  </si>
  <si>
    <t>A2862AG</t>
  </si>
  <si>
    <t>A2863AG</t>
  </si>
  <si>
    <t>A2864AG</t>
  </si>
  <si>
    <t>A2854AG</t>
  </si>
  <si>
    <t>A2855AG</t>
  </si>
  <si>
    <t>A2847AG</t>
  </si>
  <si>
    <t>A2853AG</t>
  </si>
  <si>
    <t>AC905GP</t>
  </si>
  <si>
    <t>AC896JP</t>
  </si>
  <si>
    <t>AC898JP</t>
  </si>
  <si>
    <t>AC899AP</t>
  </si>
  <si>
    <t>AC902GP</t>
  </si>
  <si>
    <t>AC897AP</t>
  </si>
  <si>
    <t>AC896EP</t>
  </si>
  <si>
    <t>AC897IP</t>
  </si>
  <si>
    <t>AC894FP</t>
  </si>
  <si>
    <t>AC895AP</t>
  </si>
  <si>
    <t>AC895IP</t>
  </si>
  <si>
    <t>AC899FP</t>
  </si>
  <si>
    <t>AC898FP</t>
  </si>
  <si>
    <t>AC896AP</t>
  </si>
  <si>
    <t>A0589AS</t>
  </si>
  <si>
    <t>A0590AS</t>
  </si>
  <si>
    <t>A0716AS</t>
  </si>
  <si>
    <t>A2474AG</t>
  </si>
  <si>
    <t>A2502AG</t>
  </si>
  <si>
    <t>A2481AG</t>
  </si>
  <si>
    <t>A0094AS</t>
  </si>
  <si>
    <t>A0095AS</t>
  </si>
  <si>
    <t>A0096AS</t>
  </si>
  <si>
    <t>A0097AS</t>
  </si>
  <si>
    <t>A0098AS</t>
  </si>
  <si>
    <t>A0646AM</t>
  </si>
  <si>
    <t>A0649AM</t>
  </si>
  <si>
    <t>A0710AM</t>
  </si>
  <si>
    <t>A2988AG</t>
  </si>
  <si>
    <t>A2991AG</t>
  </si>
  <si>
    <t>A3000AG</t>
  </si>
  <si>
    <t>A3031AG</t>
  </si>
  <si>
    <t>A0576AS</t>
  </si>
  <si>
    <t>AB615GH</t>
  </si>
  <si>
    <t>AB614GH</t>
  </si>
  <si>
    <t>AB981OJ</t>
  </si>
  <si>
    <t>AB982OJ</t>
  </si>
  <si>
    <t>AF137US</t>
  </si>
  <si>
    <t>AF137TS</t>
  </si>
  <si>
    <t>A0113AT</t>
  </si>
  <si>
    <t>AC367FL</t>
  </si>
  <si>
    <t>AC365FL</t>
  </si>
  <si>
    <t>AC366FL</t>
  </si>
  <si>
    <t>AC643CL</t>
  </si>
  <si>
    <t>A56AL5O</t>
  </si>
  <si>
    <t>A40ES7P</t>
  </si>
  <si>
    <t>AB768GH</t>
  </si>
  <si>
    <t>A44EK7P</t>
  </si>
  <si>
    <t>A44EK9P</t>
  </si>
  <si>
    <t>A44EK8P</t>
  </si>
  <si>
    <t>A91AW8U</t>
  </si>
  <si>
    <t>AC941RB</t>
  </si>
  <si>
    <t>POMPO</t>
  </si>
  <si>
    <t xml:space="preserve">AB834BH </t>
  </si>
  <si>
    <t>LEO</t>
  </si>
  <si>
    <t>SEBORUCO</t>
  </si>
  <si>
    <t>PILOTO</t>
  </si>
  <si>
    <t xml:space="preserve">TITULO </t>
  </si>
  <si>
    <t xml:space="preserve">POLIZA </t>
  </si>
  <si>
    <t>AUTORIZACION</t>
  </si>
  <si>
    <t xml:space="preserve">EXTINTOR </t>
  </si>
  <si>
    <t xml:space="preserve">CAUCHO DE REPUESTO </t>
  </si>
  <si>
    <t>CAUCHO DE REPUESTO</t>
  </si>
  <si>
    <t xml:space="preserve">TRIANGULO </t>
  </si>
  <si>
    <t xml:space="preserve">GATO </t>
  </si>
  <si>
    <t>LLAVE DE RUEDA</t>
  </si>
  <si>
    <t xml:space="preserve">PALANCA </t>
  </si>
  <si>
    <t xml:space="preserve">MANIVELA </t>
  </si>
  <si>
    <t xml:space="preserve">CONTROL DE IMPLEMENTOS </t>
  </si>
  <si>
    <t>PIMPINA</t>
  </si>
  <si>
    <t xml:space="preserve">PARA BARCELONA </t>
  </si>
  <si>
    <t>A1017AD</t>
  </si>
  <si>
    <t xml:space="preserve">FULGOR </t>
  </si>
  <si>
    <t xml:space="preserve">TRIANGLE </t>
  </si>
  <si>
    <t>EC04097F506</t>
  </si>
  <si>
    <t>EC04095F519</t>
  </si>
  <si>
    <t>EC04096R217</t>
  </si>
  <si>
    <t>EC04095F507</t>
  </si>
  <si>
    <t xml:space="preserve">ROADSHINE </t>
  </si>
  <si>
    <t>8090510275</t>
  </si>
  <si>
    <t>8090310233</t>
  </si>
  <si>
    <t>EC05056F111</t>
  </si>
  <si>
    <t>EC05066F508</t>
  </si>
  <si>
    <t>ROADSHINE</t>
  </si>
  <si>
    <t>EAE0504413</t>
  </si>
  <si>
    <t>KE0226M806</t>
  </si>
  <si>
    <t>KE021760902</t>
  </si>
  <si>
    <t>KE020570909</t>
  </si>
  <si>
    <t>KE02C570211</t>
  </si>
  <si>
    <t>KE02046M809</t>
  </si>
  <si>
    <t xml:space="preserve">ANDER AIRE </t>
  </si>
  <si>
    <t>KDC3186K114</t>
  </si>
  <si>
    <t>KDC81978I406</t>
  </si>
  <si>
    <t>RFD1003836</t>
  </si>
  <si>
    <t>RDD1003814</t>
  </si>
  <si>
    <t>KE02036M806</t>
  </si>
  <si>
    <t>KE02165M804</t>
  </si>
  <si>
    <t>KE021360901</t>
  </si>
  <si>
    <t>KE02165M807</t>
  </si>
  <si>
    <t>KE02055M801</t>
  </si>
  <si>
    <t>KE02165M803</t>
  </si>
  <si>
    <t>RFC0803395</t>
  </si>
  <si>
    <t>RDC0903839</t>
  </si>
  <si>
    <t>18/24</t>
  </si>
  <si>
    <t>EC05156F509</t>
  </si>
  <si>
    <t>EC05116F518</t>
  </si>
  <si>
    <t>EBE0504387</t>
  </si>
  <si>
    <t>ECE0504347</t>
  </si>
  <si>
    <t>14/24</t>
  </si>
  <si>
    <t>EC05076F503</t>
  </si>
  <si>
    <t>TRIANGLE</t>
  </si>
  <si>
    <t>EC04095F518</t>
  </si>
  <si>
    <t>GLOBAL BATERY</t>
  </si>
  <si>
    <t xml:space="preserve">NO TIENE </t>
  </si>
  <si>
    <t>F1525381</t>
  </si>
  <si>
    <t>FULGOR</t>
  </si>
  <si>
    <t>F1409248</t>
  </si>
  <si>
    <t>DUNCAN</t>
  </si>
  <si>
    <t>F1519586</t>
  </si>
  <si>
    <t>SV4032902</t>
  </si>
  <si>
    <t>F1272858</t>
  </si>
  <si>
    <t>SV4033088</t>
  </si>
  <si>
    <t>SV4032669</t>
  </si>
  <si>
    <t>F1102306 / F1102292</t>
  </si>
  <si>
    <t>F1491552/F1525122</t>
  </si>
  <si>
    <t>F1525116 / F15225113</t>
  </si>
  <si>
    <t>F1102272 / F1102277</t>
  </si>
  <si>
    <t>F1102278 / F1102303</t>
  </si>
  <si>
    <t xml:space="preserve">LIMPIEZA TRAMPA DE AGUA </t>
  </si>
  <si>
    <t>1089/24</t>
  </si>
  <si>
    <t>LIMPIEZA DE EVAPORADORES Y CONDENSADORES</t>
  </si>
  <si>
    <t xml:space="preserve">6 MESES </t>
  </si>
  <si>
    <t>K9 RADIAL</t>
  </si>
  <si>
    <t xml:space="preserve">K9 RADIAL </t>
  </si>
  <si>
    <t>F5300</t>
  </si>
  <si>
    <t>F1582871</t>
  </si>
  <si>
    <t>14/23</t>
  </si>
  <si>
    <t>ANDER AIRE</t>
  </si>
  <si>
    <t>EC04095R210</t>
  </si>
  <si>
    <t>EC04095D920</t>
  </si>
  <si>
    <t>42/19</t>
  </si>
  <si>
    <t>DOBLE COIN</t>
  </si>
  <si>
    <t>U93036784</t>
  </si>
  <si>
    <t xml:space="preserve">DOBLE COIN </t>
  </si>
  <si>
    <t>U93086378</t>
  </si>
  <si>
    <t>RDC0903574</t>
  </si>
  <si>
    <t>REF1004011</t>
  </si>
  <si>
    <t>EAE0504331</t>
  </si>
  <si>
    <t>EAE0504363</t>
  </si>
  <si>
    <t>ECE0504403</t>
  </si>
  <si>
    <t>EBE0504381</t>
  </si>
  <si>
    <t>EAE0504389</t>
  </si>
  <si>
    <t>EAE0504424</t>
  </si>
  <si>
    <t>EBE0504478</t>
  </si>
  <si>
    <t>EAE0504382</t>
  </si>
  <si>
    <t>J93036788</t>
  </si>
  <si>
    <t>F1582874</t>
  </si>
  <si>
    <t>F1537668</t>
  </si>
  <si>
    <t>17/0824</t>
  </si>
  <si>
    <t>KE0205709</t>
  </si>
  <si>
    <t>KE021M816</t>
  </si>
  <si>
    <t>KE02045MP15</t>
  </si>
  <si>
    <t>KE02007M808</t>
  </si>
  <si>
    <t xml:space="preserve">HIADA </t>
  </si>
  <si>
    <t>KE02176M801</t>
  </si>
  <si>
    <t>KE020470902</t>
  </si>
  <si>
    <t>RFD1003579</t>
  </si>
  <si>
    <t>KE012270911</t>
  </si>
  <si>
    <t>KE020750905</t>
  </si>
  <si>
    <t>KE020160904</t>
  </si>
  <si>
    <t>KE02036M805</t>
  </si>
  <si>
    <t>KE020116M813</t>
  </si>
  <si>
    <t>KE020660911</t>
  </si>
  <si>
    <t>KE02066M815</t>
  </si>
  <si>
    <t>KE020570210</t>
  </si>
  <si>
    <t>KE020750904</t>
  </si>
  <si>
    <t>KE020650908</t>
  </si>
  <si>
    <t>KE020160916</t>
  </si>
  <si>
    <t>KE02017M814</t>
  </si>
  <si>
    <t>KE02075M804</t>
  </si>
  <si>
    <t>KE02017M807</t>
  </si>
  <si>
    <t>KE02016M816</t>
  </si>
  <si>
    <t>KE020160912</t>
  </si>
  <si>
    <t>KE02057M814</t>
  </si>
  <si>
    <t>KE021650902</t>
  </si>
  <si>
    <t>KE0266M813</t>
  </si>
  <si>
    <t>KE0266M811</t>
  </si>
  <si>
    <t>X</t>
  </si>
  <si>
    <t>EC05117F508</t>
  </si>
  <si>
    <t>EC05136F511</t>
  </si>
  <si>
    <t xml:space="preserve">EC05116F504 </t>
  </si>
  <si>
    <t>EC0515F512</t>
  </si>
  <si>
    <t>19/24</t>
  </si>
  <si>
    <t>EC05166F504</t>
  </si>
  <si>
    <t>EC05077F114</t>
  </si>
  <si>
    <t>A0969AD</t>
  </si>
  <si>
    <t>KE020170904</t>
  </si>
  <si>
    <t>2024</t>
  </si>
  <si>
    <t>KE013150916</t>
  </si>
  <si>
    <t>KE013115M815</t>
  </si>
  <si>
    <t>KE01317M805</t>
  </si>
  <si>
    <t>KE0217M801</t>
  </si>
  <si>
    <t>KE020160903</t>
  </si>
  <si>
    <t xml:space="preserve">NO FUNCIONA </t>
  </si>
  <si>
    <t xml:space="preserve">NO MARCA </t>
  </si>
  <si>
    <t>A19BZ8G</t>
  </si>
  <si>
    <t>A0983AD</t>
  </si>
  <si>
    <t>A1012AD</t>
  </si>
  <si>
    <t>A2860AG</t>
  </si>
  <si>
    <t>A2865AG</t>
  </si>
  <si>
    <t>A2866AG</t>
  </si>
  <si>
    <t>A0645AM</t>
  </si>
  <si>
    <t>A3024AG</t>
  </si>
  <si>
    <t>A0642AM</t>
  </si>
  <si>
    <t>A0647AM</t>
  </si>
  <si>
    <t>A0644AM</t>
  </si>
  <si>
    <t>ACEITE Y FILTRO</t>
  </si>
  <si>
    <t xml:space="preserve">KM Y RECORRIDO </t>
  </si>
  <si>
    <t xml:space="preserve">no marca </t>
  </si>
  <si>
    <t xml:space="preserve">STAND BY </t>
  </si>
  <si>
    <t>SEDE</t>
  </si>
  <si>
    <t>MODELO</t>
  </si>
  <si>
    <t>ENT 610 AR</t>
  </si>
  <si>
    <t>ENT 610 URB</t>
  </si>
  <si>
    <t>ENT 610 ESP</t>
  </si>
  <si>
    <t>ENT 710</t>
  </si>
  <si>
    <t>HIGER</t>
  </si>
  <si>
    <t>ENT 6100</t>
  </si>
  <si>
    <t>BNA</t>
  </si>
  <si>
    <t>RINCON</t>
  </si>
  <si>
    <t>EL TIGRE</t>
  </si>
  <si>
    <t>PLC</t>
  </si>
  <si>
    <t>MCBO</t>
  </si>
  <si>
    <t>COLINA</t>
  </si>
  <si>
    <t>PIRITU</t>
  </si>
  <si>
    <t>PARIAGUAN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</si>
</sst>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name val="Arial"/>
      <family val="2"/>
    </font>
    <font>
      <sz val="16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protection locked="0"/>
    </xf>
  </cellStyleXfs>
  <cellXfs count="367">
    <xf numFmtId="0" fontId="0" fillId="0" borderId="0" xfId="0"/>
    <xf numFmtId="0" fontId="0" fillId="0" borderId="1" xfId="0" applyBorder="1"/>
    <xf numFmtId="0" fontId="6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2" borderId="1" xfId="0" applyFill="1" applyBorder="1"/>
    <xf numFmtId="0" fontId="0" fillId="2" borderId="1" xfId="0" applyFill="1" applyBorder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0" borderId="0" xfId="0" applyFont="1"/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7" fillId="3" borderId="1" xfId="0" applyFont="1" applyFill="1" applyBorder="1"/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12" borderId="1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5" fillId="0" borderId="1" xfId="0" applyFont="1" applyBorder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3" fillId="3" borderId="9" xfId="0" applyFont="1" applyFill="1" applyBorder="1" applyAlignment="1" applyProtection="1">
      <alignment horizontal="center" vertical="center" wrapText="1"/>
      <protection locked="0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0" xfId="0" applyFont="1"/>
    <xf numFmtId="0" fontId="3" fillId="3" borderId="9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/>
    <xf numFmtId="0" fontId="5" fillId="0" borderId="0" xfId="0" applyFont="1"/>
    <xf numFmtId="0" fontId="2" fillId="0" borderId="0" xfId="0" applyFont="1" applyProtection="1">
      <protection locked="0"/>
    </xf>
    <xf numFmtId="0" fontId="2" fillId="0" borderId="3" xfId="0" applyFont="1" applyBorder="1" applyProtection="1">
      <protection locked="0"/>
    </xf>
    <xf numFmtId="0" fontId="2" fillId="9" borderId="0" xfId="0" applyFont="1" applyFill="1" applyAlignment="1" applyProtection="1">
      <alignment wrapText="1"/>
      <protection locked="0"/>
    </xf>
    <xf numFmtId="0" fontId="2" fillId="9" borderId="5" xfId="0" applyFont="1" applyFill="1" applyBorder="1" applyProtection="1">
      <protection locked="0"/>
    </xf>
    <xf numFmtId="0" fontId="2" fillId="9" borderId="3" xfId="0" applyFont="1" applyFill="1" applyBorder="1" applyProtection="1">
      <protection locked="0"/>
    </xf>
    <xf numFmtId="0" fontId="2" fillId="9" borderId="6" xfId="0" applyFont="1" applyFill="1" applyBorder="1" applyProtection="1"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Protection="1">
      <protection locked="0"/>
    </xf>
    <xf numFmtId="14" fontId="2" fillId="0" borderId="1" xfId="0" applyNumberFormat="1" applyFont="1" applyBorder="1" applyAlignment="1" applyProtection="1">
      <alignment horizontal="center"/>
      <protection locked="0"/>
    </xf>
    <xf numFmtId="14" fontId="2" fillId="0" borderId="1" xfId="0" applyNumberFormat="1" applyFont="1" applyBorder="1" applyProtection="1">
      <protection locked="0"/>
    </xf>
    <xf numFmtId="0" fontId="7" fillId="3" borderId="1" xfId="0" applyFont="1" applyFill="1" applyBorder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/>
    <xf numFmtId="0" fontId="2" fillId="0" borderId="0" xfId="0" applyFont="1"/>
    <xf numFmtId="0" fontId="2" fillId="0" borderId="4" xfId="0" applyFont="1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9" borderId="1" xfId="0" applyFont="1" applyFill="1" applyBorder="1" applyProtection="1">
      <protection locked="0"/>
    </xf>
    <xf numFmtId="0" fontId="2" fillId="0" borderId="1" xfId="0" applyFont="1" applyBorder="1"/>
    <xf numFmtId="0" fontId="9" fillId="12" borderId="4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3" fontId="5" fillId="0" borderId="1" xfId="0" applyNumberFormat="1" applyFont="1" applyBorder="1" applyProtection="1">
      <protection locked="0"/>
    </xf>
    <xf numFmtId="49" fontId="0" fillId="0" borderId="1" xfId="0" applyNumberFormat="1" applyBorder="1" applyAlignment="1">
      <alignment vertical="center" wrapText="1"/>
    </xf>
    <xf numFmtId="0" fontId="13" fillId="0" borderId="1" xfId="0" applyFont="1" applyBorder="1" applyProtection="1">
      <protection locked="0"/>
    </xf>
    <xf numFmtId="14" fontId="13" fillId="0" borderId="1" xfId="0" applyNumberFormat="1" applyFont="1" applyBorder="1" applyProtection="1">
      <protection locked="0"/>
    </xf>
    <xf numFmtId="0" fontId="0" fillId="0" borderId="1" xfId="0" applyBorder="1" applyAlignment="1">
      <alignment vertical="center" wrapText="1"/>
    </xf>
    <xf numFmtId="14" fontId="13" fillId="0" borderId="1" xfId="0" applyNumberFormat="1" applyFont="1" applyBorder="1" applyAlignment="1" applyProtection="1">
      <alignment horizontal="center"/>
      <protection locked="0"/>
    </xf>
    <xf numFmtId="49" fontId="13" fillId="0" borderId="1" xfId="0" applyNumberFormat="1" applyFont="1" applyBorder="1" applyProtection="1">
      <protection locked="0"/>
    </xf>
    <xf numFmtId="0" fontId="14" fillId="0" borderId="1" xfId="0" applyFont="1" applyBorder="1" applyProtection="1">
      <protection locked="0"/>
    </xf>
    <xf numFmtId="0" fontId="15" fillId="0" borderId="1" xfId="0" applyFont="1" applyBorder="1" applyAlignment="1" applyProtection="1">
      <alignment vertical="center" wrapText="1"/>
      <protection locked="0"/>
    </xf>
    <xf numFmtId="14" fontId="15" fillId="0" borderId="1" xfId="0" applyNumberFormat="1" applyFont="1" applyBorder="1" applyAlignment="1" applyProtection="1">
      <alignment vertical="center"/>
      <protection locked="0"/>
    </xf>
    <xf numFmtId="14" fontId="14" fillId="0" borderId="1" xfId="0" applyNumberFormat="1" applyFont="1" applyBorder="1" applyProtection="1">
      <protection locked="0"/>
    </xf>
    <xf numFmtId="14" fontId="14" fillId="0" borderId="1" xfId="0" applyNumberFormat="1" applyFont="1" applyBorder="1" applyAlignment="1" applyProtection="1">
      <alignment horizontal="center"/>
      <protection locked="0"/>
    </xf>
    <xf numFmtId="49" fontId="14" fillId="0" borderId="1" xfId="0" applyNumberFormat="1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15" fillId="0" borderId="1" xfId="0" applyFont="1" applyBorder="1" applyAlignment="1">
      <alignment vertical="center" wrapText="1"/>
    </xf>
    <xf numFmtId="0" fontId="14" fillId="0" borderId="1" xfId="0" applyFont="1" applyBorder="1" applyAlignment="1" applyProtection="1">
      <alignment horizontal="center" vertical="center"/>
      <protection locked="0"/>
    </xf>
    <xf numFmtId="49" fontId="15" fillId="0" borderId="1" xfId="0" applyNumberFormat="1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17" fontId="2" fillId="0" borderId="1" xfId="0" applyNumberFormat="1" applyFont="1" applyBorder="1" applyProtection="1">
      <protection locked="0"/>
    </xf>
    <xf numFmtId="17" fontId="15" fillId="0" borderId="1" xfId="0" applyNumberFormat="1" applyFont="1" applyBorder="1" applyAlignment="1" applyProtection="1">
      <alignment vertical="center" wrapText="1"/>
      <protection locked="0"/>
    </xf>
    <xf numFmtId="17" fontId="14" fillId="0" borderId="1" xfId="0" applyNumberFormat="1" applyFont="1" applyBorder="1" applyProtection="1">
      <protection locked="0"/>
    </xf>
    <xf numFmtId="17" fontId="13" fillId="0" borderId="1" xfId="0" applyNumberFormat="1" applyFont="1" applyBorder="1" applyProtection="1">
      <protection locked="0"/>
    </xf>
    <xf numFmtId="17" fontId="14" fillId="0" borderId="1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4" fontId="5" fillId="3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3" fontId="7" fillId="2" borderId="1" xfId="0" applyNumberFormat="1" applyFont="1" applyFill="1" applyBorder="1" applyAlignment="1">
      <alignment vertical="center"/>
    </xf>
    <xf numFmtId="3" fontId="7" fillId="4" borderId="1" xfId="0" applyNumberFormat="1" applyFont="1" applyFill="1" applyBorder="1" applyAlignment="1" applyProtection="1">
      <alignment vertical="center"/>
      <protection locked="0"/>
    </xf>
    <xf numFmtId="3" fontId="7" fillId="4" borderId="1" xfId="0" applyNumberFormat="1" applyFont="1" applyFill="1" applyBorder="1" applyAlignment="1">
      <alignment vertical="center"/>
    </xf>
    <xf numFmtId="3" fontId="7" fillId="3" borderId="1" xfId="0" applyNumberFormat="1" applyFont="1" applyFill="1" applyBorder="1" applyAlignment="1">
      <alignment vertical="center"/>
    </xf>
    <xf numFmtId="3" fontId="7" fillId="5" borderId="1" xfId="0" applyNumberFormat="1" applyFont="1" applyFill="1" applyBorder="1" applyAlignment="1" applyProtection="1">
      <alignment vertical="center"/>
      <protection locked="0"/>
    </xf>
    <xf numFmtId="3" fontId="7" fillId="5" borderId="1" xfId="0" applyNumberFormat="1" applyFont="1" applyFill="1" applyBorder="1" applyAlignment="1">
      <alignment vertical="center"/>
    </xf>
    <xf numFmtId="3" fontId="7" fillId="6" borderId="1" xfId="0" applyNumberFormat="1" applyFont="1" applyFill="1" applyBorder="1" applyAlignment="1" applyProtection="1">
      <alignment vertical="center"/>
      <protection locked="0"/>
    </xf>
    <xf numFmtId="3" fontId="7" fillId="6" borderId="1" xfId="0" applyNumberFormat="1" applyFont="1" applyFill="1" applyBorder="1" applyAlignment="1">
      <alignment vertical="center"/>
    </xf>
    <xf numFmtId="3" fontId="7" fillId="0" borderId="1" xfId="0" applyNumberFormat="1" applyFont="1" applyBorder="1" applyAlignment="1" applyProtection="1">
      <alignment vertical="center"/>
      <protection locked="0"/>
    </xf>
    <xf numFmtId="3" fontId="7" fillId="0" borderId="1" xfId="0" applyNumberFormat="1" applyFont="1" applyBorder="1" applyAlignment="1">
      <alignment vertical="center"/>
    </xf>
    <xf numFmtId="3" fontId="7" fillId="7" borderId="1" xfId="0" applyNumberFormat="1" applyFont="1" applyFill="1" applyBorder="1" applyAlignment="1" applyProtection="1">
      <alignment vertical="center"/>
      <protection locked="0"/>
    </xf>
    <xf numFmtId="3" fontId="7" fillId="7" borderId="1" xfId="0" applyNumberFormat="1" applyFont="1" applyFill="1" applyBorder="1" applyAlignment="1">
      <alignment vertical="center"/>
    </xf>
    <xf numFmtId="3" fontId="7" fillId="8" borderId="1" xfId="0" applyNumberFormat="1" applyFont="1" applyFill="1" applyBorder="1" applyAlignment="1" applyProtection="1">
      <alignment vertical="center"/>
      <protection locked="0"/>
    </xf>
    <xf numFmtId="3" fontId="7" fillId="8" borderId="1" xfId="0" applyNumberFormat="1" applyFont="1" applyFill="1" applyBorder="1" applyAlignment="1">
      <alignment vertical="center"/>
    </xf>
    <xf numFmtId="3" fontId="7" fillId="10" borderId="1" xfId="0" applyNumberFormat="1" applyFont="1" applyFill="1" applyBorder="1" applyAlignment="1" applyProtection="1">
      <alignment vertical="center"/>
      <protection locked="0"/>
    </xf>
    <xf numFmtId="3" fontId="7" fillId="10" borderId="1" xfId="0" applyNumberFormat="1" applyFont="1" applyFill="1" applyBorder="1" applyAlignment="1">
      <alignment vertical="center"/>
    </xf>
    <xf numFmtId="3" fontId="7" fillId="11" borderId="1" xfId="0" applyNumberFormat="1" applyFont="1" applyFill="1" applyBorder="1" applyAlignment="1" applyProtection="1">
      <alignment vertical="center"/>
      <protection locked="0"/>
    </xf>
    <xf numFmtId="3" fontId="7" fillId="11" borderId="1" xfId="0" applyNumberFormat="1" applyFont="1" applyFill="1" applyBorder="1" applyAlignment="1">
      <alignment vertical="center"/>
    </xf>
    <xf numFmtId="3" fontId="6" fillId="4" borderId="1" xfId="0" applyNumberFormat="1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Border="1" applyAlignment="1" applyProtection="1">
      <alignment horizontal="center" vertical="center"/>
      <protection locked="0"/>
    </xf>
    <xf numFmtId="14" fontId="7" fillId="4" borderId="1" xfId="0" applyNumberFormat="1" applyFont="1" applyFill="1" applyBorder="1" applyAlignment="1" applyProtection="1">
      <alignment vertical="center"/>
      <protection locked="0"/>
    </xf>
    <xf numFmtId="14" fontId="7" fillId="5" borderId="1" xfId="0" applyNumberFormat="1" applyFont="1" applyFill="1" applyBorder="1" applyAlignment="1" applyProtection="1">
      <alignment vertical="center"/>
      <protection locked="0"/>
    </xf>
    <xf numFmtId="14" fontId="7" fillId="6" borderId="1" xfId="0" applyNumberFormat="1" applyFont="1" applyFill="1" applyBorder="1" applyAlignment="1" applyProtection="1">
      <alignment vertical="center"/>
      <protection locked="0"/>
    </xf>
    <xf numFmtId="14" fontId="7" fillId="0" borderId="1" xfId="0" applyNumberFormat="1" applyFont="1" applyBorder="1" applyAlignment="1" applyProtection="1">
      <alignment vertical="center"/>
      <protection locked="0"/>
    </xf>
    <xf numFmtId="14" fontId="7" fillId="7" borderId="1" xfId="0" applyNumberFormat="1" applyFont="1" applyFill="1" applyBorder="1" applyAlignment="1" applyProtection="1">
      <alignment vertical="center"/>
      <protection locked="0"/>
    </xf>
    <xf numFmtId="14" fontId="7" fillId="8" borderId="1" xfId="0" applyNumberFormat="1" applyFont="1" applyFill="1" applyBorder="1" applyAlignment="1" applyProtection="1">
      <alignment vertical="center"/>
      <protection locked="0"/>
    </xf>
    <xf numFmtId="14" fontId="7" fillId="10" borderId="1" xfId="0" applyNumberFormat="1" applyFont="1" applyFill="1" applyBorder="1" applyAlignment="1" applyProtection="1">
      <alignment vertical="center"/>
      <protection locked="0"/>
    </xf>
    <xf numFmtId="14" fontId="7" fillId="11" borderId="1" xfId="0" applyNumberFormat="1" applyFont="1" applyFill="1" applyBorder="1" applyAlignment="1" applyProtection="1">
      <alignment vertical="center"/>
      <protection locked="0"/>
    </xf>
    <xf numFmtId="14" fontId="6" fillId="2" borderId="1" xfId="0" applyNumberFormat="1" applyFont="1" applyFill="1" applyBorder="1" applyAlignment="1" applyProtection="1">
      <alignment horizontal="center" vertical="center"/>
      <protection locked="0"/>
    </xf>
    <xf numFmtId="14" fontId="6" fillId="2" borderId="5" xfId="0" applyNumberFormat="1" applyFont="1" applyFill="1" applyBorder="1" applyAlignment="1" applyProtection="1">
      <alignment horizontal="center" vertical="center"/>
      <protection locked="0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6" fillId="2" borderId="5" xfId="0" applyNumberFormat="1" applyFont="1" applyFill="1" applyBorder="1" applyAlignment="1" applyProtection="1">
      <alignment horizontal="center" vertical="center"/>
      <protection locked="0"/>
    </xf>
    <xf numFmtId="3" fontId="0" fillId="12" borderId="1" xfId="0" applyNumberFormat="1" applyFill="1" applyBorder="1"/>
    <xf numFmtId="14" fontId="0" fillId="12" borderId="1" xfId="0" applyNumberFormat="1" applyFill="1" applyBorder="1"/>
    <xf numFmtId="3" fontId="0" fillId="2" borderId="1" xfId="0" applyNumberFormat="1" applyFill="1" applyBorder="1"/>
    <xf numFmtId="14" fontId="0" fillId="2" borderId="1" xfId="0" applyNumberFormat="1" applyFill="1" applyBorder="1"/>
    <xf numFmtId="16" fontId="14" fillId="0" borderId="1" xfId="0" applyNumberFormat="1" applyFont="1" applyBorder="1" applyAlignment="1" applyProtection="1">
      <alignment horizontal="center" vertical="center"/>
      <protection locked="0"/>
    </xf>
    <xf numFmtId="0" fontId="12" fillId="0" borderId="1" xfId="0" applyFont="1" applyBorder="1" applyProtection="1">
      <protection locked="0"/>
    </xf>
    <xf numFmtId="17" fontId="12" fillId="0" borderId="1" xfId="0" applyNumberFormat="1" applyFont="1" applyBorder="1" applyProtection="1">
      <protection locked="0"/>
    </xf>
    <xf numFmtId="14" fontId="12" fillId="0" borderId="1" xfId="0" applyNumberFormat="1" applyFont="1" applyBorder="1" applyAlignment="1" applyProtection="1">
      <alignment horizontal="center"/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49" fontId="15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0" xfId="0" applyNumberFormat="1"/>
    <xf numFmtId="3" fontId="0" fillId="0" borderId="1" xfId="0" applyNumberFormat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49" fontId="12" fillId="0" borderId="1" xfId="0" applyNumberFormat="1" applyFont="1" applyBorder="1" applyAlignment="1" applyProtection="1">
      <alignment horizontal="right" vertical="center"/>
      <protection locked="0"/>
    </xf>
    <xf numFmtId="3" fontId="6" fillId="4" borderId="1" xfId="0" applyNumberFormat="1" applyFont="1" applyFill="1" applyBorder="1" applyAlignment="1" applyProtection="1">
      <alignment horizontal="center" vertical="center"/>
      <protection locked="0"/>
    </xf>
    <xf numFmtId="14" fontId="6" fillId="4" borderId="1" xfId="0" applyNumberFormat="1" applyFont="1" applyFill="1" applyBorder="1" applyAlignment="1" applyProtection="1">
      <alignment horizontal="center" vertical="center"/>
      <protection locked="0"/>
    </xf>
    <xf numFmtId="3" fontId="6" fillId="5" borderId="1" xfId="0" applyNumberFormat="1" applyFont="1" applyFill="1" applyBorder="1" applyAlignment="1" applyProtection="1">
      <alignment horizontal="center" vertical="center"/>
      <protection locked="0"/>
    </xf>
    <xf numFmtId="14" fontId="6" fillId="5" borderId="1" xfId="0" applyNumberFormat="1" applyFont="1" applyFill="1" applyBorder="1" applyAlignment="1" applyProtection="1">
      <alignment horizontal="center" vertical="center"/>
      <protection locked="0"/>
    </xf>
    <xf numFmtId="14" fontId="6" fillId="3" borderId="1" xfId="0" applyNumberFormat="1" applyFont="1" applyFill="1" applyBorder="1" applyAlignment="1" applyProtection="1">
      <alignment horizontal="center" vertical="center"/>
      <protection locked="0"/>
    </xf>
    <xf numFmtId="3" fontId="6" fillId="6" borderId="1" xfId="0" applyNumberFormat="1" applyFont="1" applyFill="1" applyBorder="1" applyAlignment="1" applyProtection="1">
      <alignment horizontal="center" vertical="center"/>
      <protection locked="0"/>
    </xf>
    <xf numFmtId="14" fontId="6" fillId="6" borderId="1" xfId="0" applyNumberFormat="1" applyFont="1" applyFill="1" applyBorder="1" applyAlignment="1" applyProtection="1">
      <alignment horizontal="center" vertical="center"/>
      <protection locked="0"/>
    </xf>
    <xf numFmtId="3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6" fillId="11" borderId="1" xfId="0" applyNumberFormat="1" applyFont="1" applyFill="1" applyBorder="1" applyAlignment="1" applyProtection="1">
      <alignment horizontal="center" vertical="center"/>
      <protection locked="0"/>
    </xf>
    <xf numFmtId="3" fontId="6" fillId="11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3" fontId="6" fillId="7" borderId="1" xfId="0" applyNumberFormat="1" applyFont="1" applyFill="1" applyBorder="1" applyAlignment="1" applyProtection="1">
      <alignment horizontal="center" vertical="center"/>
      <protection locked="0"/>
    </xf>
    <xf numFmtId="14" fontId="6" fillId="7" borderId="1" xfId="0" applyNumberFormat="1" applyFont="1" applyFill="1" applyBorder="1" applyAlignment="1" applyProtection="1">
      <alignment horizontal="center" vertical="center"/>
      <protection locked="0"/>
    </xf>
    <xf numFmtId="3" fontId="6" fillId="7" borderId="1" xfId="0" applyNumberFormat="1" applyFont="1" applyFill="1" applyBorder="1" applyAlignment="1">
      <alignment horizontal="center" vertical="center"/>
    </xf>
    <xf numFmtId="3" fontId="6" fillId="8" borderId="1" xfId="0" applyNumberFormat="1" applyFont="1" applyFill="1" applyBorder="1" applyAlignment="1" applyProtection="1">
      <alignment horizontal="center" vertical="center"/>
      <protection locked="0"/>
    </xf>
    <xf numFmtId="3" fontId="6" fillId="8" borderId="1" xfId="0" applyNumberFormat="1" applyFont="1" applyFill="1" applyBorder="1" applyAlignment="1">
      <alignment horizontal="center" vertical="center"/>
    </xf>
    <xf numFmtId="3" fontId="6" fillId="10" borderId="1" xfId="0" applyNumberFormat="1" applyFont="1" applyFill="1" applyBorder="1" applyAlignment="1" applyProtection="1">
      <alignment horizontal="center" vertical="center"/>
      <protection locked="0"/>
    </xf>
    <xf numFmtId="14" fontId="6" fillId="10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4" xfId="0" applyFont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3" fontId="7" fillId="12" borderId="1" xfId="0" applyNumberFormat="1" applyFont="1" applyFill="1" applyBorder="1" applyAlignment="1">
      <alignment vertical="center"/>
    </xf>
    <xf numFmtId="3" fontId="6" fillId="12" borderId="1" xfId="0" applyNumberFormat="1" applyFont="1" applyFill="1" applyBorder="1" applyAlignment="1">
      <alignment horizontal="center" vertical="center"/>
    </xf>
    <xf numFmtId="3" fontId="6" fillId="12" borderId="5" xfId="0" applyNumberFormat="1" applyFont="1" applyFill="1" applyBorder="1" applyAlignment="1" applyProtection="1">
      <alignment horizontal="center" vertical="center"/>
      <protection locked="0"/>
    </xf>
    <xf numFmtId="3" fontId="6" fillId="12" borderId="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6" fillId="0" borderId="0" xfId="0" applyNumberFormat="1" applyFont="1" applyAlignment="1" applyProtection="1">
      <alignment horizontal="center" vertical="center"/>
      <protection locked="0"/>
    </xf>
    <xf numFmtId="3" fontId="6" fillId="3" borderId="1" xfId="0" applyNumberFormat="1" applyFont="1" applyFill="1" applyBorder="1" applyAlignment="1" applyProtection="1">
      <alignment horizontal="center" vertical="center"/>
      <protection locked="0"/>
    </xf>
    <xf numFmtId="3" fontId="17" fillId="2" borderId="1" xfId="0" applyNumberFormat="1" applyFont="1" applyFill="1" applyBorder="1" applyAlignment="1">
      <alignment horizontal="center" vertical="center"/>
    </xf>
    <xf numFmtId="3" fontId="17" fillId="4" borderId="1" xfId="0" applyNumberFormat="1" applyFont="1" applyFill="1" applyBorder="1" applyAlignment="1">
      <alignment horizontal="center" vertical="center"/>
    </xf>
    <xf numFmtId="3" fontId="17" fillId="5" borderId="1" xfId="0" applyNumberFormat="1" applyFont="1" applyFill="1" applyBorder="1" applyAlignment="1">
      <alignment horizontal="center" vertical="center"/>
    </xf>
    <xf numFmtId="3" fontId="17" fillId="3" borderId="1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17" fillId="11" borderId="1" xfId="0" applyNumberFormat="1" applyFont="1" applyFill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3" fontId="17" fillId="7" borderId="1" xfId="0" applyNumberFormat="1" applyFont="1" applyFill="1" applyBorder="1" applyAlignment="1">
      <alignment horizontal="center" vertical="center"/>
    </xf>
    <xf numFmtId="3" fontId="17" fillId="8" borderId="1" xfId="0" applyNumberFormat="1" applyFont="1" applyFill="1" applyBorder="1" applyAlignment="1">
      <alignment horizontal="center" vertical="center"/>
    </xf>
    <xf numFmtId="3" fontId="17" fillId="10" borderId="1" xfId="0" applyNumberFormat="1" applyFont="1" applyFill="1" applyBorder="1" applyAlignment="1">
      <alignment horizontal="center" vertical="center"/>
    </xf>
    <xf numFmtId="3" fontId="7" fillId="12" borderId="1" xfId="0" applyNumberFormat="1" applyFont="1" applyFill="1" applyBorder="1" applyAlignment="1" applyProtection="1">
      <alignment vertical="center"/>
      <protection locked="0"/>
    </xf>
    <xf numFmtId="14" fontId="7" fillId="2" borderId="1" xfId="0" applyNumberFormat="1" applyFont="1" applyFill="1" applyBorder="1" applyAlignment="1" applyProtection="1">
      <alignment vertical="center"/>
      <protection locked="0"/>
    </xf>
    <xf numFmtId="3" fontId="7" fillId="2" borderId="1" xfId="0" applyNumberFormat="1" applyFont="1" applyFill="1" applyBorder="1" applyAlignment="1" applyProtection="1">
      <alignment vertical="center"/>
      <protection locked="0"/>
    </xf>
    <xf numFmtId="3" fontId="6" fillId="0" borderId="0" xfId="0" applyNumberFormat="1" applyFont="1" applyAlignment="1" applyProtection="1">
      <alignment vertical="center"/>
      <protection locked="0"/>
    </xf>
    <xf numFmtId="3" fontId="7" fillId="3" borderId="1" xfId="0" applyNumberFormat="1" applyFont="1" applyFill="1" applyBorder="1" applyAlignment="1" applyProtection="1">
      <alignment vertical="center" wrapText="1"/>
      <protection locked="0"/>
    </xf>
    <xf numFmtId="3" fontId="7" fillId="3" borderId="1" xfId="0" applyNumberFormat="1" applyFont="1" applyFill="1" applyBorder="1" applyAlignment="1" applyProtection="1">
      <alignment vertical="center"/>
      <protection locked="0"/>
    </xf>
    <xf numFmtId="3" fontId="7" fillId="2" borderId="1" xfId="0" applyNumberFormat="1" applyFont="1" applyFill="1" applyBorder="1" applyAlignment="1">
      <alignment vertical="center" wrapText="1"/>
    </xf>
    <xf numFmtId="14" fontId="7" fillId="2" borderId="1" xfId="0" applyNumberFormat="1" applyFont="1" applyFill="1" applyBorder="1" applyAlignment="1" applyProtection="1">
      <alignment vertical="center" wrapText="1"/>
      <protection locked="0"/>
    </xf>
    <xf numFmtId="3" fontId="7" fillId="2" borderId="1" xfId="0" applyNumberFormat="1" applyFont="1" applyFill="1" applyBorder="1" applyAlignment="1" applyProtection="1">
      <alignment vertical="center" wrapText="1"/>
      <protection locked="0"/>
    </xf>
    <xf numFmtId="3" fontId="7" fillId="4" borderId="1" xfId="0" applyNumberFormat="1" applyFont="1" applyFill="1" applyBorder="1" applyAlignment="1" applyProtection="1">
      <alignment vertical="center" wrapText="1"/>
      <protection locked="0"/>
    </xf>
    <xf numFmtId="3" fontId="7" fillId="4" borderId="1" xfId="0" applyNumberFormat="1" applyFont="1" applyFill="1" applyBorder="1" applyAlignment="1">
      <alignment vertical="center" wrapText="1"/>
    </xf>
    <xf numFmtId="3" fontId="7" fillId="5" borderId="1" xfId="0" applyNumberFormat="1" applyFont="1" applyFill="1" applyBorder="1" applyAlignment="1" applyProtection="1">
      <alignment vertical="center" wrapText="1"/>
      <protection locked="0"/>
    </xf>
    <xf numFmtId="3" fontId="7" fillId="5" borderId="1" xfId="0" applyNumberFormat="1" applyFont="1" applyFill="1" applyBorder="1" applyAlignment="1">
      <alignment vertical="center" wrapText="1"/>
    </xf>
    <xf numFmtId="14" fontId="7" fillId="3" borderId="1" xfId="0" applyNumberFormat="1" applyFont="1" applyFill="1" applyBorder="1" applyAlignment="1" applyProtection="1">
      <alignment vertical="center"/>
      <protection locked="0"/>
    </xf>
    <xf numFmtId="3" fontId="7" fillId="3" borderId="1" xfId="0" applyNumberFormat="1" applyFont="1" applyFill="1" applyBorder="1" applyAlignment="1">
      <alignment vertical="center" wrapText="1"/>
    </xf>
    <xf numFmtId="3" fontId="7" fillId="6" borderId="1" xfId="0" applyNumberFormat="1" applyFont="1" applyFill="1" applyBorder="1" applyAlignment="1" applyProtection="1">
      <alignment vertical="center" wrapText="1"/>
      <protection locked="0"/>
    </xf>
    <xf numFmtId="14" fontId="7" fillId="6" borderId="1" xfId="0" applyNumberFormat="1" applyFont="1" applyFill="1" applyBorder="1" applyAlignment="1" applyProtection="1">
      <alignment vertical="center" wrapText="1"/>
      <protection locked="0"/>
    </xf>
    <xf numFmtId="3" fontId="7" fillId="6" borderId="1" xfId="0" applyNumberFormat="1" applyFont="1" applyFill="1" applyBorder="1" applyAlignment="1">
      <alignment vertical="center" wrapText="1"/>
    </xf>
    <xf numFmtId="3" fontId="7" fillId="11" borderId="1" xfId="0" applyNumberFormat="1" applyFont="1" applyFill="1" applyBorder="1" applyAlignment="1" applyProtection="1">
      <alignment vertical="center" wrapText="1"/>
      <protection locked="0"/>
    </xf>
    <xf numFmtId="3" fontId="7" fillId="11" borderId="1" xfId="0" applyNumberFormat="1" applyFont="1" applyFill="1" applyBorder="1" applyAlignment="1">
      <alignment vertical="center" wrapText="1"/>
    </xf>
    <xf numFmtId="3" fontId="7" fillId="0" borderId="1" xfId="0" applyNumberFormat="1" applyFont="1" applyBorder="1" applyAlignment="1" applyProtection="1">
      <alignment vertical="center" wrapText="1"/>
      <protection locked="0"/>
    </xf>
    <xf numFmtId="14" fontId="7" fillId="0" borderId="1" xfId="0" applyNumberFormat="1" applyFont="1" applyBorder="1" applyAlignment="1" applyProtection="1">
      <alignment vertical="center" wrapText="1"/>
      <protection locked="0"/>
    </xf>
    <xf numFmtId="3" fontId="7" fillId="0" borderId="1" xfId="0" applyNumberFormat="1" applyFont="1" applyBorder="1" applyAlignment="1">
      <alignment vertical="center" wrapText="1"/>
    </xf>
    <xf numFmtId="3" fontId="7" fillId="7" borderId="1" xfId="0" applyNumberFormat="1" applyFont="1" applyFill="1" applyBorder="1" applyAlignment="1" applyProtection="1">
      <alignment vertical="center" wrapText="1"/>
      <protection locked="0"/>
    </xf>
    <xf numFmtId="3" fontId="7" fillId="7" borderId="1" xfId="0" applyNumberFormat="1" applyFont="1" applyFill="1" applyBorder="1" applyAlignment="1">
      <alignment vertical="center" wrapText="1"/>
    </xf>
    <xf numFmtId="3" fontId="7" fillId="8" borderId="1" xfId="0" applyNumberFormat="1" applyFont="1" applyFill="1" applyBorder="1" applyAlignment="1" applyProtection="1">
      <alignment vertical="center" wrapText="1"/>
      <protection locked="0"/>
    </xf>
    <xf numFmtId="3" fontId="7" fillId="8" borderId="1" xfId="0" applyNumberFormat="1" applyFont="1" applyFill="1" applyBorder="1" applyAlignment="1">
      <alignment vertical="center" wrapText="1"/>
    </xf>
    <xf numFmtId="3" fontId="7" fillId="10" borderId="1" xfId="0" applyNumberFormat="1" applyFont="1" applyFill="1" applyBorder="1" applyAlignment="1" applyProtection="1">
      <alignment vertical="center" wrapText="1"/>
      <protection locked="0"/>
    </xf>
    <xf numFmtId="3" fontId="7" fillId="10" borderId="1" xfId="0" applyNumberFormat="1" applyFont="1" applyFill="1" applyBorder="1" applyAlignment="1">
      <alignment vertical="center" wrapText="1"/>
    </xf>
    <xf numFmtId="3" fontId="6" fillId="0" borderId="0" xfId="0" applyNumberFormat="1" applyFont="1" applyAlignment="1" applyProtection="1">
      <alignment vertical="center" wrapText="1"/>
      <protection locked="0"/>
    </xf>
    <xf numFmtId="3" fontId="6" fillId="0" borderId="0" xfId="0" applyNumberFormat="1" applyFont="1" applyProtection="1">
      <protection locked="0"/>
    </xf>
    <xf numFmtId="3" fontId="6" fillId="12" borderId="0" xfId="0" applyNumberFormat="1" applyFont="1" applyFill="1" applyAlignment="1" applyProtection="1">
      <alignment vertical="center"/>
      <protection locked="0"/>
    </xf>
    <xf numFmtId="3" fontId="6" fillId="12" borderId="0" xfId="0" applyNumberFormat="1" applyFont="1" applyFill="1"/>
    <xf numFmtId="3" fontId="6" fillId="0" borderId="0" xfId="0" applyNumberFormat="1" applyFont="1" applyAlignment="1">
      <alignment vertical="center"/>
    </xf>
    <xf numFmtId="14" fontId="6" fillId="0" borderId="0" xfId="0" applyNumberFormat="1" applyFont="1" applyAlignment="1" applyProtection="1">
      <alignment vertical="center"/>
      <protection locked="0"/>
    </xf>
    <xf numFmtId="14" fontId="6" fillId="0" borderId="0" xfId="0" applyNumberFormat="1" applyFont="1" applyProtection="1">
      <protection locked="0"/>
    </xf>
    <xf numFmtId="3" fontId="6" fillId="0" borderId="0" xfId="0" applyNumberFormat="1" applyFont="1"/>
    <xf numFmtId="3" fontId="6" fillId="4" borderId="5" xfId="0" applyNumberFormat="1" applyFont="1" applyFill="1" applyBorder="1" applyAlignment="1" applyProtection="1">
      <alignment horizontal="center" vertical="center"/>
      <protection locked="0"/>
    </xf>
    <xf numFmtId="14" fontId="6" fillId="4" borderId="5" xfId="0" applyNumberFormat="1" applyFont="1" applyFill="1" applyBorder="1" applyAlignment="1" applyProtection="1">
      <alignment horizontal="center" vertical="center"/>
      <protection locked="0"/>
    </xf>
    <xf numFmtId="3" fontId="6" fillId="5" borderId="5" xfId="0" applyNumberFormat="1" applyFont="1" applyFill="1" applyBorder="1" applyAlignment="1" applyProtection="1">
      <alignment horizontal="center" vertical="center"/>
      <protection locked="0"/>
    </xf>
    <xf numFmtId="14" fontId="6" fillId="5" borderId="5" xfId="0" applyNumberFormat="1" applyFont="1" applyFill="1" applyBorder="1" applyAlignment="1" applyProtection="1">
      <alignment horizontal="center" vertical="center"/>
      <protection locked="0"/>
    </xf>
    <xf numFmtId="3" fontId="6" fillId="3" borderId="5" xfId="0" applyNumberFormat="1" applyFont="1" applyFill="1" applyBorder="1" applyAlignment="1" applyProtection="1">
      <alignment horizontal="center" vertical="center"/>
      <protection locked="0"/>
    </xf>
    <xf numFmtId="14" fontId="6" fillId="3" borderId="5" xfId="0" applyNumberFormat="1" applyFont="1" applyFill="1" applyBorder="1" applyAlignment="1" applyProtection="1">
      <alignment horizontal="center" vertical="center"/>
      <protection locked="0"/>
    </xf>
    <xf numFmtId="3" fontId="6" fillId="6" borderId="5" xfId="0" applyNumberFormat="1" applyFont="1" applyFill="1" applyBorder="1" applyAlignment="1" applyProtection="1">
      <alignment horizontal="center" vertical="center"/>
      <protection locked="0"/>
    </xf>
    <xf numFmtId="14" fontId="6" fillId="6" borderId="5" xfId="0" applyNumberFormat="1" applyFont="1" applyFill="1" applyBorder="1" applyAlignment="1" applyProtection="1">
      <alignment horizontal="center" vertical="center"/>
      <protection locked="0"/>
    </xf>
    <xf numFmtId="3" fontId="6" fillId="11" borderId="5" xfId="0" applyNumberFormat="1" applyFont="1" applyFill="1" applyBorder="1" applyAlignment="1" applyProtection="1">
      <alignment horizontal="center" vertical="center"/>
      <protection locked="0"/>
    </xf>
    <xf numFmtId="14" fontId="6" fillId="11" borderId="5" xfId="0" applyNumberFormat="1" applyFont="1" applyFill="1" applyBorder="1" applyAlignment="1" applyProtection="1">
      <alignment horizontal="center" vertical="center"/>
      <protection locked="0"/>
    </xf>
    <xf numFmtId="14" fontId="6" fillId="0" borderId="5" xfId="0" applyNumberFormat="1" applyFont="1" applyBorder="1" applyAlignment="1" applyProtection="1">
      <alignment horizontal="center" vertical="center"/>
      <protection locked="0"/>
    </xf>
    <xf numFmtId="3" fontId="6" fillId="7" borderId="5" xfId="0" applyNumberFormat="1" applyFont="1" applyFill="1" applyBorder="1" applyAlignment="1" applyProtection="1">
      <alignment horizontal="center" vertical="center"/>
      <protection locked="0"/>
    </xf>
    <xf numFmtId="14" fontId="6" fillId="7" borderId="5" xfId="0" applyNumberFormat="1" applyFont="1" applyFill="1" applyBorder="1" applyAlignment="1" applyProtection="1">
      <alignment horizontal="center" vertical="center"/>
      <protection locked="0"/>
    </xf>
    <xf numFmtId="3" fontId="6" fillId="8" borderId="5" xfId="0" applyNumberFormat="1" applyFont="1" applyFill="1" applyBorder="1" applyAlignment="1" applyProtection="1">
      <alignment horizontal="center" vertical="center"/>
      <protection locked="0"/>
    </xf>
    <xf numFmtId="14" fontId="6" fillId="8" borderId="5" xfId="0" applyNumberFormat="1" applyFont="1" applyFill="1" applyBorder="1" applyAlignment="1" applyProtection="1">
      <alignment horizontal="center" vertical="center"/>
      <protection locked="0"/>
    </xf>
    <xf numFmtId="3" fontId="6" fillId="10" borderId="5" xfId="0" applyNumberFormat="1" applyFont="1" applyFill="1" applyBorder="1" applyAlignment="1" applyProtection="1">
      <alignment horizontal="center" vertical="center"/>
      <protection locked="0"/>
    </xf>
    <xf numFmtId="14" fontId="6" fillId="10" borderId="5" xfId="0" applyNumberFormat="1" applyFont="1" applyFill="1" applyBorder="1" applyAlignment="1" applyProtection="1">
      <alignment horizontal="center" vertical="center"/>
      <protection locked="0"/>
    </xf>
    <xf numFmtId="0" fontId="9" fillId="15" borderId="4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14" fontId="6" fillId="8" borderId="1" xfId="0" applyNumberFormat="1" applyFont="1" applyFill="1" applyBorder="1" applyAlignment="1" applyProtection="1">
      <alignment horizontal="center" vertical="center"/>
      <protection locked="0"/>
    </xf>
    <xf numFmtId="0" fontId="6" fillId="6" borderId="1" xfId="0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8" borderId="1" xfId="0" applyFont="1" applyFill="1" applyBorder="1" applyAlignment="1" applyProtection="1">
      <alignment horizontal="center" vertical="center"/>
      <protection locked="0"/>
    </xf>
    <xf numFmtId="0" fontId="6" fillId="8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7" fillId="12" borderId="1" xfId="0" applyFont="1" applyFill="1" applyBorder="1" applyProtection="1">
      <protection locked="0"/>
    </xf>
    <xf numFmtId="0" fontId="9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3" fontId="17" fillId="2" borderId="5" xfId="0" applyNumberFormat="1" applyFont="1" applyFill="1" applyBorder="1" applyAlignment="1">
      <alignment horizontal="center" vertical="center"/>
    </xf>
    <xf numFmtId="3" fontId="17" fillId="4" borderId="5" xfId="0" applyNumberFormat="1" applyFont="1" applyFill="1" applyBorder="1" applyAlignment="1">
      <alignment horizontal="center" vertical="center"/>
    </xf>
    <xf numFmtId="3" fontId="17" fillId="3" borderId="5" xfId="0" applyNumberFormat="1" applyFont="1" applyFill="1" applyBorder="1" applyAlignment="1">
      <alignment horizontal="center" vertical="center"/>
    </xf>
    <xf numFmtId="3" fontId="17" fillId="6" borderId="5" xfId="0" applyNumberFormat="1" applyFont="1" applyFill="1" applyBorder="1" applyAlignment="1">
      <alignment horizontal="center" vertical="center"/>
    </xf>
    <xf numFmtId="3" fontId="17" fillId="11" borderId="5" xfId="0" applyNumberFormat="1" applyFont="1" applyFill="1" applyBorder="1" applyAlignment="1">
      <alignment horizontal="center" vertical="center"/>
    </xf>
    <xf numFmtId="3" fontId="17" fillId="0" borderId="5" xfId="0" applyNumberFormat="1" applyFont="1" applyBorder="1" applyAlignment="1">
      <alignment horizontal="center" vertical="center"/>
    </xf>
    <xf numFmtId="3" fontId="17" fillId="7" borderId="5" xfId="0" applyNumberFormat="1" applyFont="1" applyFill="1" applyBorder="1" applyAlignment="1">
      <alignment horizontal="center" vertical="center"/>
    </xf>
    <xf numFmtId="3" fontId="17" fillId="8" borderId="5" xfId="0" applyNumberFormat="1" applyFont="1" applyFill="1" applyBorder="1" applyAlignment="1">
      <alignment horizontal="center" vertical="center"/>
    </xf>
    <xf numFmtId="3" fontId="17" fillId="10" borderId="5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Border="1" applyAlignment="1" applyProtection="1">
      <alignment vertical="center"/>
      <protection locked="0"/>
    </xf>
    <xf numFmtId="3" fontId="6" fillId="12" borderId="1" xfId="0" applyNumberFormat="1" applyFont="1" applyFill="1" applyBorder="1"/>
    <xf numFmtId="3" fontId="6" fillId="0" borderId="1" xfId="0" applyNumberFormat="1" applyFont="1" applyBorder="1" applyProtection="1">
      <protection locked="0"/>
    </xf>
    <xf numFmtId="14" fontId="6" fillId="0" borderId="1" xfId="0" applyNumberFormat="1" applyFont="1" applyBorder="1" applyProtection="1">
      <protection locked="0"/>
    </xf>
    <xf numFmtId="3" fontId="6" fillId="0" borderId="1" xfId="0" applyNumberFormat="1" applyFont="1" applyBorder="1"/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/>
    </xf>
    <xf numFmtId="0" fontId="2" fillId="9" borderId="1" xfId="0" applyFont="1" applyFill="1" applyBorder="1" applyAlignment="1" applyProtection="1">
      <alignment wrapText="1"/>
      <protection locked="0"/>
    </xf>
    <xf numFmtId="0" fontId="15" fillId="0" borderId="1" xfId="0" applyFont="1" applyBorder="1"/>
    <xf numFmtId="0" fontId="12" fillId="9" borderId="1" xfId="0" applyFont="1" applyFill="1" applyBorder="1" applyAlignment="1" applyProtection="1">
      <alignment wrapText="1"/>
      <protection locked="0"/>
    </xf>
    <xf numFmtId="49" fontId="12" fillId="0" borderId="1" xfId="0" applyNumberFormat="1" applyFont="1" applyBorder="1" applyProtection="1">
      <protection locked="0"/>
    </xf>
    <xf numFmtId="0" fontId="5" fillId="0" borderId="1" xfId="0" applyFont="1" applyBorder="1"/>
    <xf numFmtId="3" fontId="6" fillId="2" borderId="1" xfId="0" applyNumberFormat="1" applyFont="1" applyFill="1" applyBorder="1" applyAlignment="1">
      <alignment vertical="center"/>
    </xf>
    <xf numFmtId="14" fontId="6" fillId="2" borderId="1" xfId="0" applyNumberFormat="1" applyFont="1" applyFill="1" applyBorder="1" applyAlignment="1" applyProtection="1">
      <alignment vertical="center"/>
      <protection locked="0"/>
    </xf>
    <xf numFmtId="3" fontId="6" fillId="2" borderId="1" xfId="0" applyNumberFormat="1" applyFont="1" applyFill="1" applyBorder="1" applyAlignment="1" applyProtection="1">
      <alignment vertical="center"/>
      <protection locked="0"/>
    </xf>
    <xf numFmtId="3" fontId="6" fillId="4" borderId="1" xfId="0" applyNumberFormat="1" applyFont="1" applyFill="1" applyBorder="1" applyProtection="1">
      <protection locked="0"/>
    </xf>
    <xf numFmtId="14" fontId="6" fillId="4" borderId="1" xfId="0" applyNumberFormat="1" applyFont="1" applyFill="1" applyBorder="1" applyProtection="1">
      <protection locked="0"/>
    </xf>
    <xf numFmtId="3" fontId="6" fillId="4" borderId="1" xfId="0" applyNumberFormat="1" applyFont="1" applyFill="1" applyBorder="1"/>
    <xf numFmtId="3" fontId="6" fillId="5" borderId="1" xfId="0" applyNumberFormat="1" applyFont="1" applyFill="1" applyBorder="1"/>
    <xf numFmtId="3" fontId="6" fillId="3" borderId="1" xfId="0" applyNumberFormat="1" applyFont="1" applyFill="1" applyBorder="1" applyProtection="1">
      <protection locked="0"/>
    </xf>
    <xf numFmtId="14" fontId="6" fillId="3" borderId="1" xfId="0" applyNumberFormat="1" applyFont="1" applyFill="1" applyBorder="1" applyProtection="1">
      <protection locked="0"/>
    </xf>
    <xf numFmtId="3" fontId="6" fillId="6" borderId="1" xfId="0" applyNumberFormat="1" applyFont="1" applyFill="1" applyBorder="1" applyProtection="1">
      <protection locked="0"/>
    </xf>
    <xf numFmtId="3" fontId="6" fillId="14" borderId="0" xfId="0" applyNumberFormat="1" applyFont="1" applyFill="1" applyProtection="1">
      <protection locked="0"/>
    </xf>
    <xf numFmtId="0" fontId="9" fillId="13" borderId="4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3" fontId="7" fillId="0" borderId="4" xfId="0" applyNumberFormat="1" applyFont="1" applyBorder="1" applyAlignment="1" applyProtection="1">
      <alignment vertical="center"/>
      <protection locked="0"/>
    </xf>
    <xf numFmtId="3" fontId="7" fillId="3" borderId="4" xfId="0" applyNumberFormat="1" applyFont="1" applyFill="1" applyBorder="1" applyAlignment="1" applyProtection="1">
      <alignment vertical="center" wrapText="1"/>
      <protection locked="0"/>
    </xf>
    <xf numFmtId="0" fontId="7" fillId="12" borderId="4" xfId="0" applyFont="1" applyFill="1" applyBorder="1" applyProtection="1">
      <protection locked="0"/>
    </xf>
    <xf numFmtId="3" fontId="6" fillId="0" borderId="1" xfId="0" applyNumberFormat="1" applyFont="1" applyBorder="1" applyAlignment="1" applyProtection="1">
      <alignment vertical="center"/>
      <protection locked="0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6" fillId="4" borderId="1" xfId="0" applyNumberFormat="1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14" fontId="6" fillId="2" borderId="5" xfId="0" applyNumberFormat="1" applyFont="1" applyFill="1" applyBorder="1" applyAlignment="1" applyProtection="1">
      <alignment horizontal="center" vertical="center"/>
      <protection locked="0"/>
    </xf>
    <xf numFmtId="3" fontId="6" fillId="2" borderId="5" xfId="0" applyNumberFormat="1" applyFont="1" applyFill="1" applyBorder="1" applyAlignment="1" applyProtection="1">
      <alignment horizontal="center" vertical="center"/>
      <protection locked="0"/>
    </xf>
    <xf numFmtId="3" fontId="6" fillId="11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center" vertical="center"/>
    </xf>
    <xf numFmtId="3" fontId="6" fillId="8" borderId="1" xfId="0" applyNumberFormat="1" applyFont="1" applyFill="1" applyBorder="1" applyAlignment="1">
      <alignment horizontal="center" vertical="center"/>
    </xf>
    <xf numFmtId="3" fontId="6" fillId="12" borderId="5" xfId="0" applyNumberFormat="1" applyFont="1" applyFill="1" applyBorder="1" applyAlignment="1" applyProtection="1">
      <alignment horizontal="center" vertical="center"/>
      <protection locked="0"/>
    </xf>
    <xf numFmtId="3" fontId="6" fillId="12" borderId="5" xfId="0" applyNumberFormat="1" applyFont="1" applyFill="1" applyBorder="1" applyAlignment="1">
      <alignment horizontal="center" vertical="center"/>
    </xf>
    <xf numFmtId="3" fontId="17" fillId="2" borderId="1" xfId="0" applyNumberFormat="1" applyFont="1" applyFill="1" applyBorder="1" applyAlignment="1">
      <alignment horizontal="center" vertical="center"/>
    </xf>
    <xf numFmtId="3" fontId="17" fillId="5" borderId="1" xfId="0" applyNumberFormat="1" applyFont="1" applyFill="1" applyBorder="1" applyAlignment="1">
      <alignment horizontal="center" vertical="center"/>
    </xf>
    <xf numFmtId="3" fontId="17" fillId="10" borderId="1" xfId="0" applyNumberFormat="1" applyFont="1" applyFill="1" applyBorder="1" applyAlignment="1">
      <alignment horizontal="center" vertical="center"/>
    </xf>
    <xf numFmtId="3" fontId="6" fillId="4" borderId="5" xfId="0" applyNumberFormat="1" applyFont="1" applyFill="1" applyBorder="1" applyAlignment="1" applyProtection="1">
      <alignment horizontal="center" vertical="center"/>
      <protection locked="0"/>
    </xf>
    <xf numFmtId="14" fontId="6" fillId="4" borderId="5" xfId="0" applyNumberFormat="1" applyFont="1" applyFill="1" applyBorder="1" applyAlignment="1" applyProtection="1">
      <alignment horizontal="center" vertical="center"/>
      <protection locked="0"/>
    </xf>
    <xf numFmtId="3" fontId="6" fillId="5" borderId="5" xfId="0" applyNumberFormat="1" applyFont="1" applyFill="1" applyBorder="1" applyAlignment="1" applyProtection="1">
      <alignment horizontal="center" vertical="center"/>
      <protection locked="0"/>
    </xf>
    <xf numFmtId="14" fontId="6" fillId="5" borderId="5" xfId="0" applyNumberFormat="1" applyFont="1" applyFill="1" applyBorder="1" applyAlignment="1" applyProtection="1">
      <alignment horizontal="center" vertical="center"/>
      <protection locked="0"/>
    </xf>
    <xf numFmtId="3" fontId="6" fillId="3" borderId="5" xfId="0" applyNumberFormat="1" applyFont="1" applyFill="1" applyBorder="1" applyAlignment="1" applyProtection="1">
      <alignment horizontal="center" vertical="center"/>
      <protection locked="0"/>
    </xf>
    <xf numFmtId="14" fontId="6" fillId="3" borderId="5" xfId="0" applyNumberFormat="1" applyFont="1" applyFill="1" applyBorder="1" applyAlignment="1" applyProtection="1">
      <alignment horizontal="center" vertical="center"/>
      <protection locked="0"/>
    </xf>
    <xf numFmtId="3" fontId="6" fillId="6" borderId="5" xfId="0" applyNumberFormat="1" applyFont="1" applyFill="1" applyBorder="1" applyAlignment="1" applyProtection="1">
      <alignment horizontal="center" vertical="center"/>
      <protection locked="0"/>
    </xf>
    <xf numFmtId="14" fontId="6" fillId="6" borderId="5" xfId="0" applyNumberFormat="1" applyFont="1" applyFill="1" applyBorder="1" applyAlignment="1" applyProtection="1">
      <alignment horizontal="center" vertical="center"/>
      <protection locked="0"/>
    </xf>
    <xf numFmtId="3" fontId="6" fillId="11" borderId="5" xfId="0" applyNumberFormat="1" applyFont="1" applyFill="1" applyBorder="1" applyAlignment="1" applyProtection="1">
      <alignment horizontal="center" vertical="center"/>
      <protection locked="0"/>
    </xf>
    <xf numFmtId="14" fontId="6" fillId="11" borderId="5" xfId="0" applyNumberFormat="1" applyFont="1" applyFill="1" applyBorder="1" applyAlignment="1" applyProtection="1">
      <alignment horizontal="center" vertical="center"/>
      <protection locked="0"/>
    </xf>
    <xf numFmtId="14" fontId="6" fillId="0" borderId="5" xfId="0" applyNumberFormat="1" applyFont="1" applyBorder="1" applyAlignment="1" applyProtection="1">
      <alignment horizontal="center" vertical="center"/>
      <protection locked="0"/>
    </xf>
    <xf numFmtId="3" fontId="6" fillId="7" borderId="5" xfId="0" applyNumberFormat="1" applyFont="1" applyFill="1" applyBorder="1" applyAlignment="1" applyProtection="1">
      <alignment horizontal="center" vertical="center"/>
      <protection locked="0"/>
    </xf>
    <xf numFmtId="14" fontId="6" fillId="7" borderId="5" xfId="0" applyNumberFormat="1" applyFont="1" applyFill="1" applyBorder="1" applyAlignment="1" applyProtection="1">
      <alignment horizontal="center" vertical="center"/>
      <protection locked="0"/>
    </xf>
    <xf numFmtId="3" fontId="6" fillId="8" borderId="5" xfId="0" applyNumberFormat="1" applyFont="1" applyFill="1" applyBorder="1" applyAlignment="1" applyProtection="1">
      <alignment horizontal="center" vertical="center"/>
      <protection locked="0"/>
    </xf>
    <xf numFmtId="14" fontId="6" fillId="8" borderId="5" xfId="0" applyNumberFormat="1" applyFont="1" applyFill="1" applyBorder="1" applyAlignment="1" applyProtection="1">
      <alignment horizontal="center" vertical="center"/>
      <protection locked="0"/>
    </xf>
    <xf numFmtId="3" fontId="6" fillId="10" borderId="5" xfId="0" applyNumberFormat="1" applyFont="1" applyFill="1" applyBorder="1" applyAlignment="1" applyProtection="1">
      <alignment horizontal="center" vertical="center"/>
      <protection locked="0"/>
    </xf>
    <xf numFmtId="14" fontId="6" fillId="10" borderId="5" xfId="0" applyNumberFormat="1" applyFont="1" applyFill="1" applyBorder="1" applyAlignment="1" applyProtection="1">
      <alignment horizontal="center" vertical="center"/>
      <protection locked="0"/>
    </xf>
    <xf numFmtId="0" fontId="9" fillId="15" borderId="4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9" fillId="13" borderId="8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3" fontId="7" fillId="3" borderId="2" xfId="0" applyNumberFormat="1" applyFont="1" applyFill="1" applyBorder="1" applyAlignment="1" applyProtection="1">
      <alignment vertical="center"/>
      <protection locked="0"/>
    </xf>
    <xf numFmtId="3" fontId="7" fillId="3" borderId="4" xfId="0" applyNumberFormat="1" applyFont="1" applyFill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1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1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FFCCCC"/>
      <color rgb="FFFFFF99"/>
      <color rgb="FFCCCCFF"/>
      <color rgb="FFFFCC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zoomScale="90" zoomScaleNormal="90" workbookViewId="0">
      <selection activeCell="G7" sqref="G7"/>
    </sheetView>
  </sheetViews>
  <sheetFormatPr baseColWidth="10" defaultColWidth="11.42578125" defaultRowHeight="14.25" x14ac:dyDescent="0.2"/>
  <cols>
    <col min="1" max="1" width="32.42578125" style="2" bestFit="1" customWidth="1"/>
    <col min="2" max="2" width="19.42578125" style="2" customWidth="1"/>
    <col min="3" max="16384" width="11.42578125" style="2"/>
  </cols>
  <sheetData>
    <row r="1" spans="1:3" ht="42" customHeight="1" x14ac:dyDescent="0.2">
      <c r="A1" s="4" t="s">
        <v>50</v>
      </c>
      <c r="B1" s="5" t="s">
        <v>51</v>
      </c>
    </row>
    <row r="2" spans="1:3" ht="36" customHeight="1" x14ac:dyDescent="0.2">
      <c r="A2" s="10" t="s">
        <v>27</v>
      </c>
      <c r="B2" s="10">
        <v>10000</v>
      </c>
    </row>
    <row r="3" spans="1:3" ht="36" customHeight="1" x14ac:dyDescent="0.2">
      <c r="A3" s="10" t="s">
        <v>28</v>
      </c>
      <c r="B3" s="10">
        <v>10000</v>
      </c>
    </row>
    <row r="4" spans="1:3" ht="36" customHeight="1" x14ac:dyDescent="0.2">
      <c r="A4" s="10" t="s">
        <v>29</v>
      </c>
      <c r="B4" s="10">
        <v>15000</v>
      </c>
      <c r="C4" s="2" t="s">
        <v>259</v>
      </c>
    </row>
    <row r="5" spans="1:3" ht="36" customHeight="1" x14ac:dyDescent="0.2">
      <c r="A5" s="10" t="s">
        <v>31</v>
      </c>
      <c r="B5" s="10">
        <v>5000</v>
      </c>
    </row>
    <row r="6" spans="1:3" ht="36" customHeight="1" x14ac:dyDescent="0.2">
      <c r="A6" s="10" t="s">
        <v>30</v>
      </c>
      <c r="B6" s="10">
        <v>2000</v>
      </c>
    </row>
    <row r="7" spans="1:3" ht="36" customHeight="1" x14ac:dyDescent="0.2">
      <c r="A7" s="10" t="s">
        <v>32</v>
      </c>
      <c r="B7" s="10">
        <v>1500</v>
      </c>
    </row>
    <row r="8" spans="1:3" ht="36" customHeight="1" x14ac:dyDescent="0.2">
      <c r="A8" s="10" t="s">
        <v>33</v>
      </c>
      <c r="B8" s="10">
        <v>1500</v>
      </c>
    </row>
    <row r="9" spans="1:3" ht="36" customHeight="1" x14ac:dyDescent="0.2">
      <c r="A9" s="10" t="s">
        <v>34</v>
      </c>
      <c r="B9" s="10">
        <v>15000</v>
      </c>
    </row>
    <row r="10" spans="1:3" ht="36" customHeight="1" x14ac:dyDescent="0.2">
      <c r="A10" s="10" t="s">
        <v>35</v>
      </c>
      <c r="B10" s="10">
        <v>10000</v>
      </c>
    </row>
    <row r="11" spans="1:3" ht="36" customHeight="1" x14ac:dyDescent="0.2">
      <c r="A11" s="10" t="s">
        <v>22</v>
      </c>
      <c r="B11" s="10">
        <v>20000</v>
      </c>
    </row>
    <row r="12" spans="1:3" ht="36" customHeight="1" x14ac:dyDescent="0.2">
      <c r="A12" s="10" t="s">
        <v>36</v>
      </c>
      <c r="B12" s="1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AJ65"/>
  <sheetViews>
    <sheetView tabSelected="1" topLeftCell="A38" zoomScale="60" zoomScaleNormal="60" workbookViewId="0">
      <selection activeCell="C26" sqref="C26"/>
    </sheetView>
  </sheetViews>
  <sheetFormatPr baseColWidth="10" defaultColWidth="11.42578125" defaultRowHeight="24" customHeight="1" x14ac:dyDescent="0.2"/>
  <cols>
    <col min="1" max="1" width="11.42578125" style="237"/>
    <col min="2" max="2" width="14" style="237" customWidth="1"/>
    <col min="3" max="3" width="8.85546875" style="237" bestFit="1" customWidth="1"/>
    <col min="4" max="4" width="16.7109375" style="237" customWidth="1"/>
    <col min="5" max="5" width="19.5703125" style="238" customWidth="1"/>
    <col min="6" max="6" width="18" style="239" customWidth="1"/>
    <col min="7" max="7" width="14.140625" style="240" customWidth="1"/>
    <col min="8" max="8" width="12.42578125" style="241" bestFit="1" customWidth="1"/>
    <col min="9" max="9" width="14.5703125" style="210" customWidth="1"/>
    <col min="10" max="10" width="15.140625" style="237" customWidth="1"/>
    <col min="11" max="11" width="12.42578125" style="242" bestFit="1" customWidth="1"/>
    <col min="12" max="12" width="14.7109375" style="243" customWidth="1"/>
    <col min="13" max="13" width="13.42578125" style="243" customWidth="1"/>
    <col min="14" max="14" width="13.7109375" style="243" bestFit="1" customWidth="1"/>
    <col min="15" max="15" width="14.7109375" style="243" customWidth="1"/>
    <col min="16" max="16" width="14.28515625" style="237" customWidth="1"/>
    <col min="17" max="17" width="13.7109375" style="242" bestFit="1" customWidth="1"/>
    <col min="18" max="18" width="13.42578125" style="243" customWidth="1"/>
    <col min="19" max="19" width="19.7109375" style="237" customWidth="1"/>
    <col min="20" max="20" width="12.28515625" style="242" bestFit="1" customWidth="1"/>
    <col min="21" max="21" width="20.42578125" style="243" customWidth="1"/>
    <col min="22" max="24" width="16.42578125" style="243" customWidth="1"/>
    <col min="25" max="25" width="14.42578125" style="237" customWidth="1"/>
    <col min="26" max="26" width="11.42578125" style="242"/>
    <col min="27" max="27" width="19.5703125" style="243" customWidth="1"/>
    <col min="28" max="28" width="15.7109375" style="237" customWidth="1"/>
    <col min="29" max="29" width="11.85546875" style="242" customWidth="1"/>
    <col min="30" max="30" width="25.140625" style="243" customWidth="1"/>
    <col min="31" max="31" width="17.42578125" style="237" customWidth="1"/>
    <col min="32" max="32" width="15.140625" style="242" customWidth="1"/>
    <col min="33" max="33" width="18.5703125" style="243" customWidth="1"/>
    <col min="34" max="34" width="16" style="237" customWidth="1"/>
    <col min="35" max="35" width="12.28515625" style="242" bestFit="1" customWidth="1"/>
    <col min="36" max="36" width="17.7109375" style="243" customWidth="1"/>
    <col min="37" max="16384" width="11.42578125" style="237"/>
  </cols>
  <sheetData>
    <row r="2" spans="1:36" s="210" customFormat="1" ht="24" customHeight="1" x14ac:dyDescent="0.25">
      <c r="A2" s="320"/>
      <c r="B2" s="320"/>
      <c r="C2" s="317"/>
      <c r="D2" s="126"/>
      <c r="E2" s="207" t="s">
        <v>406</v>
      </c>
      <c r="F2" s="190"/>
      <c r="G2" s="118"/>
      <c r="H2" s="208" t="s">
        <v>405</v>
      </c>
      <c r="I2" s="209"/>
      <c r="J2" s="119" t="s">
        <v>8</v>
      </c>
      <c r="K2" s="140"/>
      <c r="L2" s="120"/>
      <c r="M2" s="122" t="s">
        <v>46</v>
      </c>
      <c r="N2" s="141"/>
      <c r="O2" s="123"/>
      <c r="P2" s="358" t="s">
        <v>49</v>
      </c>
      <c r="Q2" s="359"/>
      <c r="R2" s="121"/>
      <c r="S2" s="124" t="s">
        <v>9</v>
      </c>
      <c r="T2" s="142"/>
      <c r="U2" s="125"/>
      <c r="V2" s="134" t="s">
        <v>45</v>
      </c>
      <c r="W2" s="147"/>
      <c r="X2" s="135"/>
      <c r="Y2" s="126" t="s">
        <v>47</v>
      </c>
      <c r="Z2" s="143"/>
      <c r="AA2" s="127"/>
      <c r="AB2" s="128" t="s">
        <v>48</v>
      </c>
      <c r="AC2" s="144"/>
      <c r="AD2" s="129"/>
      <c r="AE2" s="130" t="s">
        <v>10</v>
      </c>
      <c r="AF2" s="145"/>
      <c r="AG2" s="131"/>
      <c r="AH2" s="132" t="s">
        <v>22</v>
      </c>
      <c r="AI2" s="146"/>
      <c r="AJ2" s="133"/>
    </row>
    <row r="3" spans="1:36" s="236" customFormat="1" ht="45" x14ac:dyDescent="0.25">
      <c r="A3" s="322" t="s">
        <v>409</v>
      </c>
      <c r="B3" s="322" t="s">
        <v>410</v>
      </c>
      <c r="C3" s="318" t="s">
        <v>0</v>
      </c>
      <c r="D3" s="212" t="s">
        <v>1</v>
      </c>
      <c r="E3" s="212" t="s">
        <v>2</v>
      </c>
      <c r="F3" s="121" t="s">
        <v>3</v>
      </c>
      <c r="G3" s="213" t="s">
        <v>6</v>
      </c>
      <c r="H3" s="214" t="s">
        <v>5</v>
      </c>
      <c r="I3" s="215" t="s">
        <v>4</v>
      </c>
      <c r="J3" s="216" t="s">
        <v>4</v>
      </c>
      <c r="K3" s="140" t="s">
        <v>7</v>
      </c>
      <c r="L3" s="217" t="s">
        <v>6</v>
      </c>
      <c r="M3" s="218" t="s">
        <v>4</v>
      </c>
      <c r="N3" s="141" t="s">
        <v>7</v>
      </c>
      <c r="O3" s="219" t="s">
        <v>6</v>
      </c>
      <c r="P3" s="211" t="s">
        <v>13</v>
      </c>
      <c r="Q3" s="220" t="s">
        <v>7</v>
      </c>
      <c r="R3" s="221" t="s">
        <v>14</v>
      </c>
      <c r="S3" s="222" t="s">
        <v>15</v>
      </c>
      <c r="T3" s="223" t="s">
        <v>7</v>
      </c>
      <c r="U3" s="224" t="s">
        <v>16</v>
      </c>
      <c r="V3" s="225" t="s">
        <v>20</v>
      </c>
      <c r="W3" s="147" t="s">
        <v>7</v>
      </c>
      <c r="X3" s="226" t="s">
        <v>21</v>
      </c>
      <c r="Y3" s="227" t="s">
        <v>17</v>
      </c>
      <c r="Z3" s="228" t="s">
        <v>7</v>
      </c>
      <c r="AA3" s="229" t="s">
        <v>18</v>
      </c>
      <c r="AB3" s="230" t="s">
        <v>4</v>
      </c>
      <c r="AC3" s="144" t="s">
        <v>7</v>
      </c>
      <c r="AD3" s="231" t="s">
        <v>6</v>
      </c>
      <c r="AE3" s="232" t="s">
        <v>11</v>
      </c>
      <c r="AF3" s="145" t="s">
        <v>7</v>
      </c>
      <c r="AG3" s="233" t="s">
        <v>12</v>
      </c>
      <c r="AH3" s="234" t="s">
        <v>20</v>
      </c>
      <c r="AI3" s="146" t="s">
        <v>7</v>
      </c>
      <c r="AJ3" s="235" t="s">
        <v>21</v>
      </c>
    </row>
    <row r="4" spans="1:36" s="195" customFormat="1" ht="39" customHeight="1" x14ac:dyDescent="0.25">
      <c r="A4" s="321" t="s">
        <v>417</v>
      </c>
      <c r="B4" s="321" t="s">
        <v>411</v>
      </c>
      <c r="C4" s="315">
        <v>125</v>
      </c>
      <c r="D4" s="316" t="s">
        <v>145</v>
      </c>
      <c r="E4" s="139">
        <v>218663</v>
      </c>
      <c r="F4" s="191">
        <f t="shared" ref="F4:F55" si="0">E4-I4</f>
        <v>1971</v>
      </c>
      <c r="G4" s="197">
        <f t="shared" ref="G4:G55" si="1">I4+10000</f>
        <v>226692</v>
      </c>
      <c r="H4" s="148">
        <v>45026</v>
      </c>
      <c r="I4" s="150">
        <v>216692</v>
      </c>
      <c r="J4" s="169"/>
      <c r="K4" s="170"/>
      <c r="L4" s="198">
        <f t="shared" ref="L4:L55" si="2">J4+15000</f>
        <v>15000</v>
      </c>
      <c r="M4" s="171"/>
      <c r="N4" s="172"/>
      <c r="O4" s="199">
        <f t="shared" ref="O4:O57" si="3">M4+20000</f>
        <v>20000</v>
      </c>
      <c r="P4" s="196">
        <v>217907</v>
      </c>
      <c r="Q4" s="173">
        <v>45407</v>
      </c>
      <c r="R4" s="200">
        <f t="shared" ref="R4:R55" si="4">P4+5000</f>
        <v>222907</v>
      </c>
      <c r="S4" s="174">
        <v>217907</v>
      </c>
      <c r="T4" s="175">
        <v>45407</v>
      </c>
      <c r="U4" s="201">
        <f t="shared" ref="U4:U55" si="5">S4+1500</f>
        <v>219407</v>
      </c>
      <c r="V4" s="176">
        <v>217907</v>
      </c>
      <c r="W4" s="177">
        <v>45407</v>
      </c>
      <c r="X4" s="202">
        <f t="shared" ref="X4:X55" si="6">V4+1500</f>
        <v>219407</v>
      </c>
      <c r="Y4" s="139">
        <v>217385</v>
      </c>
      <c r="Z4" s="179">
        <v>45085</v>
      </c>
      <c r="AA4" s="203">
        <f t="shared" ref="AA4:AA55" si="7">Y4+1500</f>
        <v>218885</v>
      </c>
      <c r="AB4" s="181"/>
      <c r="AC4" s="182"/>
      <c r="AD4" s="204">
        <f t="shared" ref="AD4:AD55" si="8">AB4+15000</f>
        <v>15000</v>
      </c>
      <c r="AE4" s="184"/>
      <c r="AF4" s="266"/>
      <c r="AG4" s="205">
        <f t="shared" ref="AG4:AG55" si="9">AE4+10000</f>
        <v>10000</v>
      </c>
      <c r="AH4" s="186">
        <v>217385</v>
      </c>
      <c r="AI4" s="187">
        <v>45085</v>
      </c>
      <c r="AJ4" s="206">
        <f t="shared" ref="AJ4:AJ55" si="10">AH4+20000</f>
        <v>237385</v>
      </c>
    </row>
    <row r="5" spans="1:36" s="195" customFormat="1" ht="39" customHeight="1" x14ac:dyDescent="0.25">
      <c r="A5" s="321" t="s">
        <v>418</v>
      </c>
      <c r="B5" s="321" t="s">
        <v>412</v>
      </c>
      <c r="C5" s="315">
        <v>130</v>
      </c>
      <c r="D5" s="316" t="s">
        <v>146</v>
      </c>
      <c r="E5" s="139">
        <v>489542</v>
      </c>
      <c r="F5" s="191">
        <f t="shared" si="0"/>
        <v>37</v>
      </c>
      <c r="G5" s="197">
        <f t="shared" si="1"/>
        <v>499505</v>
      </c>
      <c r="H5" s="148">
        <v>46122</v>
      </c>
      <c r="I5" s="150">
        <v>489505</v>
      </c>
      <c r="J5" s="169">
        <v>489505</v>
      </c>
      <c r="K5" s="170">
        <v>46122</v>
      </c>
      <c r="L5" s="198">
        <f t="shared" si="2"/>
        <v>504505</v>
      </c>
      <c r="M5" s="171">
        <v>489505</v>
      </c>
      <c r="N5" s="172">
        <v>46122</v>
      </c>
      <c r="O5" s="199">
        <f t="shared" si="3"/>
        <v>509505</v>
      </c>
      <c r="P5" s="196">
        <v>489505</v>
      </c>
      <c r="Q5" s="173">
        <v>46122</v>
      </c>
      <c r="R5" s="200">
        <f t="shared" si="4"/>
        <v>494505</v>
      </c>
      <c r="S5" s="174">
        <v>479585</v>
      </c>
      <c r="T5" s="175">
        <v>45881</v>
      </c>
      <c r="U5" s="201">
        <f t="shared" si="5"/>
        <v>481085</v>
      </c>
      <c r="V5" s="176">
        <v>479583</v>
      </c>
      <c r="W5" s="177">
        <v>45747</v>
      </c>
      <c r="X5" s="202">
        <f t="shared" si="6"/>
        <v>481083</v>
      </c>
      <c r="Y5" s="139">
        <v>479583</v>
      </c>
      <c r="Z5" s="179">
        <v>45747</v>
      </c>
      <c r="AA5" s="203">
        <f t="shared" si="7"/>
        <v>481083</v>
      </c>
      <c r="AB5" s="181"/>
      <c r="AC5" s="182"/>
      <c r="AD5" s="204">
        <f t="shared" si="8"/>
        <v>15000</v>
      </c>
      <c r="AE5" s="184"/>
      <c r="AF5" s="266"/>
      <c r="AG5" s="205">
        <f t="shared" si="9"/>
        <v>10000</v>
      </c>
      <c r="AH5" s="186">
        <v>452952</v>
      </c>
      <c r="AI5" s="187">
        <v>45582</v>
      </c>
      <c r="AJ5" s="206">
        <f t="shared" si="10"/>
        <v>472952</v>
      </c>
    </row>
    <row r="6" spans="1:36" s="195" customFormat="1" ht="39" customHeight="1" x14ac:dyDescent="0.25">
      <c r="A6" s="321" t="s">
        <v>417</v>
      </c>
      <c r="B6" s="321" t="s">
        <v>412</v>
      </c>
      <c r="C6" s="315">
        <v>131</v>
      </c>
      <c r="D6" s="316" t="s">
        <v>147</v>
      </c>
      <c r="E6" s="139">
        <v>441982</v>
      </c>
      <c r="F6" s="191">
        <f t="shared" si="0"/>
        <v>7229</v>
      </c>
      <c r="G6" s="197">
        <f t="shared" si="1"/>
        <v>444753</v>
      </c>
      <c r="H6" s="148">
        <v>45965</v>
      </c>
      <c r="I6" s="150">
        <v>434753</v>
      </c>
      <c r="J6" s="169">
        <v>429051</v>
      </c>
      <c r="K6" s="170">
        <v>45807</v>
      </c>
      <c r="L6" s="198">
        <f t="shared" si="2"/>
        <v>444051</v>
      </c>
      <c r="M6" s="171">
        <v>429051</v>
      </c>
      <c r="N6" s="172">
        <v>45807</v>
      </c>
      <c r="O6" s="199">
        <f t="shared" si="3"/>
        <v>449051</v>
      </c>
      <c r="P6" s="196">
        <v>429051</v>
      </c>
      <c r="Q6" s="173">
        <v>45807</v>
      </c>
      <c r="R6" s="200">
        <f t="shared" si="4"/>
        <v>434051</v>
      </c>
      <c r="S6" s="174">
        <v>431178</v>
      </c>
      <c r="T6" s="175">
        <v>45829</v>
      </c>
      <c r="U6" s="201">
        <f t="shared" si="5"/>
        <v>432678</v>
      </c>
      <c r="V6" s="176">
        <v>431178</v>
      </c>
      <c r="W6" s="177">
        <v>45829</v>
      </c>
      <c r="X6" s="202">
        <f t="shared" si="6"/>
        <v>432678</v>
      </c>
      <c r="Y6" s="139">
        <v>431178</v>
      </c>
      <c r="Z6" s="179">
        <v>45829</v>
      </c>
      <c r="AA6" s="203">
        <f t="shared" si="7"/>
        <v>432678</v>
      </c>
      <c r="AB6" s="181"/>
      <c r="AC6" s="182"/>
      <c r="AD6" s="204">
        <f t="shared" si="8"/>
        <v>15000</v>
      </c>
      <c r="AE6" s="184"/>
      <c r="AF6" s="266"/>
      <c r="AG6" s="205">
        <f t="shared" si="9"/>
        <v>10000</v>
      </c>
      <c r="AH6" s="186">
        <v>411354</v>
      </c>
      <c r="AI6" s="187">
        <v>45582</v>
      </c>
      <c r="AJ6" s="206">
        <f t="shared" si="10"/>
        <v>431354</v>
      </c>
    </row>
    <row r="7" spans="1:36" s="195" customFormat="1" ht="39" customHeight="1" x14ac:dyDescent="0.25">
      <c r="A7" s="321" t="s">
        <v>417</v>
      </c>
      <c r="B7" s="321" t="s">
        <v>412</v>
      </c>
      <c r="C7" s="315">
        <v>132</v>
      </c>
      <c r="D7" s="316" t="s">
        <v>148</v>
      </c>
      <c r="E7" s="139">
        <v>551839</v>
      </c>
      <c r="F7" s="191">
        <f t="shared" si="0"/>
        <v>2800</v>
      </c>
      <c r="G7" s="197">
        <f t="shared" si="1"/>
        <v>559039</v>
      </c>
      <c r="H7" s="148">
        <v>46063</v>
      </c>
      <c r="I7" s="150">
        <v>549039</v>
      </c>
      <c r="J7" s="169">
        <v>549039</v>
      </c>
      <c r="K7" s="170">
        <v>46063</v>
      </c>
      <c r="L7" s="198">
        <f t="shared" si="2"/>
        <v>564039</v>
      </c>
      <c r="M7" s="171">
        <v>549039</v>
      </c>
      <c r="N7" s="172">
        <v>46063</v>
      </c>
      <c r="O7" s="199">
        <f t="shared" si="3"/>
        <v>569039</v>
      </c>
      <c r="P7" s="196">
        <v>534883</v>
      </c>
      <c r="Q7" s="173">
        <v>45670</v>
      </c>
      <c r="R7" s="200">
        <f t="shared" si="4"/>
        <v>539883</v>
      </c>
      <c r="S7" s="174">
        <v>541721</v>
      </c>
      <c r="T7" s="175">
        <v>45813</v>
      </c>
      <c r="U7" s="201">
        <f t="shared" si="5"/>
        <v>543221</v>
      </c>
      <c r="V7" s="176">
        <v>541721</v>
      </c>
      <c r="W7" s="177">
        <v>45813</v>
      </c>
      <c r="X7" s="202">
        <f t="shared" si="6"/>
        <v>543221</v>
      </c>
      <c r="Y7" s="139"/>
      <c r="Z7" s="179"/>
      <c r="AA7" s="203">
        <f t="shared" si="7"/>
        <v>1500</v>
      </c>
      <c r="AB7" s="181"/>
      <c r="AC7" s="182"/>
      <c r="AD7" s="204">
        <f t="shared" si="8"/>
        <v>15000</v>
      </c>
      <c r="AE7" s="184"/>
      <c r="AF7" s="266"/>
      <c r="AG7" s="205">
        <f t="shared" si="9"/>
        <v>10000</v>
      </c>
      <c r="AH7" s="186"/>
      <c r="AI7" s="187"/>
      <c r="AJ7" s="206">
        <f t="shared" si="10"/>
        <v>20000</v>
      </c>
    </row>
    <row r="8" spans="1:36" s="195" customFormat="1" ht="39" customHeight="1" x14ac:dyDescent="0.25">
      <c r="A8" s="321" t="s">
        <v>417</v>
      </c>
      <c r="B8" s="321" t="s">
        <v>412</v>
      </c>
      <c r="C8" s="315">
        <v>133</v>
      </c>
      <c r="D8" s="316" t="s">
        <v>149</v>
      </c>
      <c r="E8" s="139">
        <v>519548</v>
      </c>
      <c r="F8" s="191">
        <f t="shared" si="0"/>
        <v>1175</v>
      </c>
      <c r="G8" s="197">
        <f t="shared" si="1"/>
        <v>528373</v>
      </c>
      <c r="H8" s="148">
        <v>46102</v>
      </c>
      <c r="I8" s="150">
        <v>518373</v>
      </c>
      <c r="J8" s="169">
        <v>518373</v>
      </c>
      <c r="K8" s="170">
        <v>46102</v>
      </c>
      <c r="L8" s="198">
        <f t="shared" si="2"/>
        <v>533373</v>
      </c>
      <c r="M8" s="171">
        <v>505909</v>
      </c>
      <c r="N8" s="172">
        <v>45724</v>
      </c>
      <c r="O8" s="199">
        <f t="shared" si="3"/>
        <v>525909</v>
      </c>
      <c r="P8" s="196">
        <v>469567</v>
      </c>
      <c r="Q8" s="173">
        <v>45481</v>
      </c>
      <c r="R8" s="200">
        <f t="shared" si="4"/>
        <v>474567</v>
      </c>
      <c r="S8" s="174">
        <v>502817</v>
      </c>
      <c r="T8" s="175">
        <v>45670</v>
      </c>
      <c r="U8" s="201">
        <f t="shared" si="5"/>
        <v>504317</v>
      </c>
      <c r="V8" s="176">
        <v>502817</v>
      </c>
      <c r="W8" s="177">
        <v>45670</v>
      </c>
      <c r="X8" s="202">
        <f t="shared" si="6"/>
        <v>504317</v>
      </c>
      <c r="Y8" s="139"/>
      <c r="Z8" s="179"/>
      <c r="AA8" s="203">
        <f t="shared" si="7"/>
        <v>1500</v>
      </c>
      <c r="AB8" s="181"/>
      <c r="AC8" s="182"/>
      <c r="AD8" s="204">
        <f t="shared" si="8"/>
        <v>15000</v>
      </c>
      <c r="AE8" s="184"/>
      <c r="AF8" s="266"/>
      <c r="AG8" s="205">
        <f t="shared" si="9"/>
        <v>10000</v>
      </c>
      <c r="AH8" s="186"/>
      <c r="AI8" s="187"/>
      <c r="AJ8" s="206">
        <f t="shared" si="10"/>
        <v>20000</v>
      </c>
    </row>
    <row r="9" spans="1:36" s="195" customFormat="1" ht="39" customHeight="1" x14ac:dyDescent="0.25">
      <c r="A9" s="321" t="s">
        <v>419</v>
      </c>
      <c r="B9" s="321" t="s">
        <v>412</v>
      </c>
      <c r="C9" s="315">
        <v>134</v>
      </c>
      <c r="D9" s="316" t="s">
        <v>150</v>
      </c>
      <c r="E9" s="139">
        <v>437955</v>
      </c>
      <c r="F9" s="191">
        <f t="shared" si="0"/>
        <v>7037</v>
      </c>
      <c r="G9" s="197">
        <f t="shared" si="1"/>
        <v>440918</v>
      </c>
      <c r="H9" s="148">
        <v>46060</v>
      </c>
      <c r="I9" s="150">
        <v>430918</v>
      </c>
      <c r="J9" s="169">
        <v>375187</v>
      </c>
      <c r="K9" s="170">
        <v>45582</v>
      </c>
      <c r="L9" s="198">
        <f t="shared" si="2"/>
        <v>390187</v>
      </c>
      <c r="M9" s="171">
        <v>400490</v>
      </c>
      <c r="N9" s="172">
        <v>45711</v>
      </c>
      <c r="O9" s="199">
        <f t="shared" si="3"/>
        <v>420490</v>
      </c>
      <c r="P9" s="196">
        <v>400490</v>
      </c>
      <c r="Q9" s="173">
        <v>45711</v>
      </c>
      <c r="R9" s="200">
        <f t="shared" si="4"/>
        <v>405490</v>
      </c>
      <c r="S9" s="174">
        <v>439380</v>
      </c>
      <c r="T9" s="175">
        <v>46083</v>
      </c>
      <c r="U9" s="201">
        <f t="shared" si="5"/>
        <v>440880</v>
      </c>
      <c r="V9" s="176">
        <v>413932</v>
      </c>
      <c r="W9" s="177">
        <v>45859</v>
      </c>
      <c r="X9" s="202">
        <f t="shared" si="6"/>
        <v>415432</v>
      </c>
      <c r="Y9" s="139">
        <v>397856</v>
      </c>
      <c r="Z9" s="179">
        <v>45698</v>
      </c>
      <c r="AA9" s="203">
        <f t="shared" si="7"/>
        <v>399356</v>
      </c>
      <c r="AB9" s="181"/>
      <c r="AC9" s="182"/>
      <c r="AD9" s="204">
        <f t="shared" si="8"/>
        <v>15000</v>
      </c>
      <c r="AE9" s="184">
        <v>380870</v>
      </c>
      <c r="AF9" s="266">
        <v>45621</v>
      </c>
      <c r="AG9" s="205">
        <f t="shared" si="9"/>
        <v>390870</v>
      </c>
      <c r="AH9" s="186">
        <v>374965</v>
      </c>
      <c r="AI9" s="187">
        <v>45582</v>
      </c>
      <c r="AJ9" s="206">
        <f t="shared" si="10"/>
        <v>394965</v>
      </c>
    </row>
    <row r="10" spans="1:36" s="195" customFormat="1" ht="39" customHeight="1" x14ac:dyDescent="0.25">
      <c r="A10" s="321" t="s">
        <v>417</v>
      </c>
      <c r="B10" s="321" t="s">
        <v>412</v>
      </c>
      <c r="C10" s="315">
        <v>135</v>
      </c>
      <c r="D10" s="316" t="s">
        <v>151</v>
      </c>
      <c r="E10" s="139">
        <v>594059</v>
      </c>
      <c r="F10" s="191">
        <f t="shared" si="0"/>
        <v>6420</v>
      </c>
      <c r="G10" s="197">
        <f t="shared" si="1"/>
        <v>597639</v>
      </c>
      <c r="H10" s="148">
        <v>45742</v>
      </c>
      <c r="I10" s="150">
        <v>587639</v>
      </c>
      <c r="J10" s="169">
        <v>587636</v>
      </c>
      <c r="K10" s="170">
        <v>45826</v>
      </c>
      <c r="L10" s="198">
        <f t="shared" si="2"/>
        <v>602636</v>
      </c>
      <c r="M10" s="171">
        <v>571637</v>
      </c>
      <c r="N10" s="172">
        <v>45670</v>
      </c>
      <c r="O10" s="199">
        <f t="shared" si="3"/>
        <v>591637</v>
      </c>
      <c r="P10" s="196">
        <v>587636</v>
      </c>
      <c r="Q10" s="173">
        <v>45826</v>
      </c>
      <c r="R10" s="200">
        <f t="shared" si="4"/>
        <v>592636</v>
      </c>
      <c r="S10" s="174">
        <v>587688</v>
      </c>
      <c r="T10" s="175">
        <v>45881</v>
      </c>
      <c r="U10" s="201">
        <f t="shared" si="5"/>
        <v>589188</v>
      </c>
      <c r="V10" s="176">
        <v>560637</v>
      </c>
      <c r="W10" s="177">
        <v>45670</v>
      </c>
      <c r="X10" s="202">
        <f t="shared" si="6"/>
        <v>562137</v>
      </c>
      <c r="Y10" s="139"/>
      <c r="Z10" s="179"/>
      <c r="AA10" s="203">
        <f t="shared" si="7"/>
        <v>1500</v>
      </c>
      <c r="AB10" s="181"/>
      <c r="AC10" s="182"/>
      <c r="AD10" s="204">
        <f t="shared" si="8"/>
        <v>15000</v>
      </c>
      <c r="AE10" s="184">
        <v>563852</v>
      </c>
      <c r="AF10" s="266">
        <v>45684</v>
      </c>
      <c r="AG10" s="205">
        <f t="shared" si="9"/>
        <v>573852</v>
      </c>
      <c r="AH10" s="186"/>
      <c r="AI10" s="187"/>
      <c r="AJ10" s="206">
        <f t="shared" si="10"/>
        <v>20000</v>
      </c>
    </row>
    <row r="11" spans="1:36" s="195" customFormat="1" ht="39" customHeight="1" x14ac:dyDescent="0.25">
      <c r="A11" s="321" t="s">
        <v>420</v>
      </c>
      <c r="B11" s="321" t="s">
        <v>412</v>
      </c>
      <c r="C11" s="315">
        <v>136</v>
      </c>
      <c r="D11" s="316" t="s">
        <v>152</v>
      </c>
      <c r="E11" s="139">
        <v>443024</v>
      </c>
      <c r="F11" s="191">
        <f t="shared" si="0"/>
        <v>8353</v>
      </c>
      <c r="G11" s="197">
        <f t="shared" si="1"/>
        <v>444671</v>
      </c>
      <c r="H11" s="148">
        <v>45864</v>
      </c>
      <c r="I11" s="150">
        <v>434671</v>
      </c>
      <c r="J11" s="169">
        <v>428795</v>
      </c>
      <c r="K11" s="170">
        <v>45584</v>
      </c>
      <c r="L11" s="198">
        <f t="shared" si="2"/>
        <v>443795</v>
      </c>
      <c r="M11" s="171">
        <v>422510</v>
      </c>
      <c r="N11" s="172">
        <v>45548</v>
      </c>
      <c r="O11" s="199">
        <f t="shared" si="3"/>
        <v>442510</v>
      </c>
      <c r="P11" s="196">
        <v>428795</v>
      </c>
      <c r="Q11" s="173">
        <v>45584</v>
      </c>
      <c r="R11" s="200">
        <f t="shared" si="4"/>
        <v>433795</v>
      </c>
      <c r="S11" s="174">
        <v>434572</v>
      </c>
      <c r="T11" s="175">
        <v>45775</v>
      </c>
      <c r="U11" s="201">
        <f t="shared" si="5"/>
        <v>436072</v>
      </c>
      <c r="V11" s="176">
        <v>428795</v>
      </c>
      <c r="W11" s="177">
        <v>45584</v>
      </c>
      <c r="X11" s="202">
        <f t="shared" si="6"/>
        <v>430295</v>
      </c>
      <c r="Y11" s="139"/>
      <c r="Z11" s="179"/>
      <c r="AA11" s="203">
        <f t="shared" si="7"/>
        <v>1500</v>
      </c>
      <c r="AB11" s="181"/>
      <c r="AC11" s="182"/>
      <c r="AD11" s="204">
        <f t="shared" si="8"/>
        <v>15000</v>
      </c>
      <c r="AE11" s="184"/>
      <c r="AF11" s="266"/>
      <c r="AG11" s="205">
        <f t="shared" si="9"/>
        <v>10000</v>
      </c>
      <c r="AH11" s="186">
        <v>428795</v>
      </c>
      <c r="AI11" s="187">
        <v>45584</v>
      </c>
      <c r="AJ11" s="206">
        <f t="shared" si="10"/>
        <v>448795</v>
      </c>
    </row>
    <row r="12" spans="1:36" s="195" customFormat="1" ht="39" customHeight="1" x14ac:dyDescent="0.25">
      <c r="A12" s="321" t="s">
        <v>420</v>
      </c>
      <c r="B12" s="321" t="s">
        <v>412</v>
      </c>
      <c r="C12" s="315">
        <v>137</v>
      </c>
      <c r="D12" s="316" t="s">
        <v>153</v>
      </c>
      <c r="E12" s="139">
        <v>521890</v>
      </c>
      <c r="F12" s="191">
        <f t="shared" si="0"/>
        <v>3289</v>
      </c>
      <c r="G12" s="197">
        <f t="shared" si="1"/>
        <v>528601</v>
      </c>
      <c r="H12" s="148">
        <v>46067</v>
      </c>
      <c r="I12" s="150">
        <v>518601</v>
      </c>
      <c r="J12" s="169">
        <v>518601</v>
      </c>
      <c r="K12" s="170">
        <v>46067</v>
      </c>
      <c r="L12" s="198">
        <f t="shared" si="2"/>
        <v>533601</v>
      </c>
      <c r="M12" s="171">
        <v>518601</v>
      </c>
      <c r="N12" s="172">
        <v>46067</v>
      </c>
      <c r="O12" s="199">
        <f t="shared" si="3"/>
        <v>538601</v>
      </c>
      <c r="P12" s="196">
        <v>513567</v>
      </c>
      <c r="Q12" s="173">
        <v>45526</v>
      </c>
      <c r="R12" s="200">
        <f t="shared" si="4"/>
        <v>518567</v>
      </c>
      <c r="S12" s="174">
        <v>509683</v>
      </c>
      <c r="T12" s="175">
        <v>45670</v>
      </c>
      <c r="U12" s="201">
        <f t="shared" si="5"/>
        <v>511183</v>
      </c>
      <c r="V12" s="176">
        <v>509683</v>
      </c>
      <c r="W12" s="177">
        <v>45670</v>
      </c>
      <c r="X12" s="202">
        <f t="shared" si="6"/>
        <v>511183</v>
      </c>
      <c r="Y12" s="139"/>
      <c r="Z12" s="179"/>
      <c r="AA12" s="203">
        <f t="shared" si="7"/>
        <v>1500</v>
      </c>
      <c r="AB12" s="181"/>
      <c r="AC12" s="182"/>
      <c r="AD12" s="204">
        <f t="shared" si="8"/>
        <v>15000</v>
      </c>
      <c r="AE12" s="184"/>
      <c r="AF12" s="266"/>
      <c r="AG12" s="205">
        <f t="shared" si="9"/>
        <v>10000</v>
      </c>
      <c r="AH12" s="186">
        <v>505783</v>
      </c>
      <c r="AI12" s="187">
        <v>45583</v>
      </c>
      <c r="AJ12" s="206">
        <f t="shared" si="10"/>
        <v>525783</v>
      </c>
    </row>
    <row r="13" spans="1:36" s="195" customFormat="1" ht="39" customHeight="1" x14ac:dyDescent="0.25">
      <c r="A13" s="321" t="s">
        <v>420</v>
      </c>
      <c r="B13" s="321" t="s">
        <v>412</v>
      </c>
      <c r="C13" s="261">
        <v>138</v>
      </c>
      <c r="D13" s="262" t="s">
        <v>154</v>
      </c>
      <c r="E13" s="139">
        <v>284734</v>
      </c>
      <c r="F13" s="191">
        <f>E13-I13</f>
        <v>9970</v>
      </c>
      <c r="G13" s="197">
        <f t="shared" si="1"/>
        <v>284764</v>
      </c>
      <c r="H13" s="148">
        <v>46004</v>
      </c>
      <c r="I13" s="150">
        <v>274764</v>
      </c>
      <c r="J13" s="169">
        <v>274764</v>
      </c>
      <c r="K13" s="170">
        <v>46004</v>
      </c>
      <c r="L13" s="198">
        <f t="shared" si="2"/>
        <v>289764</v>
      </c>
      <c r="M13" s="171">
        <v>274764</v>
      </c>
      <c r="N13" s="172">
        <v>46004</v>
      </c>
      <c r="O13" s="199">
        <f t="shared" si="3"/>
        <v>294764</v>
      </c>
      <c r="P13" s="196">
        <v>274764</v>
      </c>
      <c r="Q13" s="173">
        <v>46004</v>
      </c>
      <c r="R13" s="200">
        <f t="shared" si="4"/>
        <v>279764</v>
      </c>
      <c r="S13" s="174">
        <v>254498</v>
      </c>
      <c r="T13" s="175">
        <v>45747</v>
      </c>
      <c r="U13" s="201">
        <f t="shared" si="5"/>
        <v>255998</v>
      </c>
      <c r="V13" s="176">
        <v>254498</v>
      </c>
      <c r="W13" s="177">
        <v>45747</v>
      </c>
      <c r="X13" s="202">
        <f t="shared" si="6"/>
        <v>255998</v>
      </c>
      <c r="Y13" s="139">
        <v>252721</v>
      </c>
      <c r="Z13" s="179">
        <v>45724</v>
      </c>
      <c r="AA13" s="203">
        <f t="shared" si="7"/>
        <v>254221</v>
      </c>
      <c r="AB13" s="181"/>
      <c r="AC13" s="182"/>
      <c r="AD13" s="204">
        <f t="shared" si="8"/>
        <v>15000</v>
      </c>
      <c r="AE13" s="184">
        <v>250954</v>
      </c>
      <c r="AF13" s="266">
        <v>45704</v>
      </c>
      <c r="AG13" s="205">
        <f t="shared" si="9"/>
        <v>260954</v>
      </c>
      <c r="AH13" s="186"/>
      <c r="AI13" s="187"/>
      <c r="AJ13" s="206">
        <f t="shared" si="10"/>
        <v>20000</v>
      </c>
    </row>
    <row r="14" spans="1:36" s="195" customFormat="1" ht="39" customHeight="1" x14ac:dyDescent="0.25">
      <c r="A14" s="321" t="s">
        <v>421</v>
      </c>
      <c r="B14" s="321" t="s">
        <v>412</v>
      </c>
      <c r="C14" s="315">
        <v>139</v>
      </c>
      <c r="D14" s="316" t="s">
        <v>155</v>
      </c>
      <c r="E14" s="139">
        <v>387152</v>
      </c>
      <c r="F14" s="191">
        <f t="shared" si="0"/>
        <v>5644</v>
      </c>
      <c r="G14" s="197">
        <f t="shared" si="1"/>
        <v>391508</v>
      </c>
      <c r="H14" s="148">
        <v>45867</v>
      </c>
      <c r="I14" s="150">
        <v>381508</v>
      </c>
      <c r="J14" s="169">
        <v>326407</v>
      </c>
      <c r="K14" s="170">
        <v>45330</v>
      </c>
      <c r="L14" s="198">
        <f t="shared" si="2"/>
        <v>341407</v>
      </c>
      <c r="M14" s="171">
        <v>370747</v>
      </c>
      <c r="N14" s="172">
        <v>45545</v>
      </c>
      <c r="O14" s="199">
        <f t="shared" si="3"/>
        <v>390747</v>
      </c>
      <c r="P14" s="196">
        <v>370747</v>
      </c>
      <c r="Q14" s="173" t="s">
        <v>318</v>
      </c>
      <c r="R14" s="200">
        <f t="shared" si="4"/>
        <v>375747</v>
      </c>
      <c r="S14" s="174">
        <v>375761</v>
      </c>
      <c r="T14" s="175">
        <v>45670</v>
      </c>
      <c r="U14" s="201">
        <f t="shared" si="5"/>
        <v>377261</v>
      </c>
      <c r="V14" s="176">
        <v>372974</v>
      </c>
      <c r="W14" s="177">
        <v>45554</v>
      </c>
      <c r="X14" s="202">
        <f t="shared" si="6"/>
        <v>374474</v>
      </c>
      <c r="Y14" s="139"/>
      <c r="Z14" s="179"/>
      <c r="AA14" s="203">
        <f t="shared" si="7"/>
        <v>1500</v>
      </c>
      <c r="AB14" s="181"/>
      <c r="AC14" s="182"/>
      <c r="AD14" s="204">
        <f t="shared" si="8"/>
        <v>15000</v>
      </c>
      <c r="AE14" s="184">
        <v>375761</v>
      </c>
      <c r="AF14" s="266">
        <v>45666</v>
      </c>
      <c r="AG14" s="205">
        <f t="shared" si="9"/>
        <v>385761</v>
      </c>
      <c r="AH14" s="186">
        <v>374471</v>
      </c>
      <c r="AI14" s="187">
        <v>45587</v>
      </c>
      <c r="AJ14" s="206">
        <f t="shared" si="10"/>
        <v>394471</v>
      </c>
    </row>
    <row r="15" spans="1:36" s="195" customFormat="1" ht="39" customHeight="1" x14ac:dyDescent="0.25">
      <c r="A15" s="321" t="s">
        <v>417</v>
      </c>
      <c r="B15" s="321" t="s">
        <v>413</v>
      </c>
      <c r="C15" s="315">
        <v>144</v>
      </c>
      <c r="D15" s="316" t="s">
        <v>384</v>
      </c>
      <c r="E15" s="139">
        <v>331174</v>
      </c>
      <c r="F15" s="191">
        <f t="shared" si="0"/>
        <v>3318</v>
      </c>
      <c r="G15" s="197">
        <f t="shared" si="1"/>
        <v>337856</v>
      </c>
      <c r="H15" s="148">
        <v>46095</v>
      </c>
      <c r="I15" s="150">
        <v>327856</v>
      </c>
      <c r="J15" s="169">
        <v>312716</v>
      </c>
      <c r="K15" s="170">
        <v>45678</v>
      </c>
      <c r="L15" s="198">
        <f t="shared" si="2"/>
        <v>327716</v>
      </c>
      <c r="M15" s="171">
        <v>327354</v>
      </c>
      <c r="N15" s="172">
        <v>46087</v>
      </c>
      <c r="O15" s="199">
        <f t="shared" si="3"/>
        <v>347354</v>
      </c>
      <c r="P15" s="196">
        <v>307512</v>
      </c>
      <c r="Q15" s="173">
        <v>45586</v>
      </c>
      <c r="R15" s="200">
        <f t="shared" si="4"/>
        <v>312512</v>
      </c>
      <c r="S15" s="174">
        <v>307512</v>
      </c>
      <c r="T15" s="175">
        <v>45586</v>
      </c>
      <c r="U15" s="201">
        <f t="shared" si="5"/>
        <v>309012</v>
      </c>
      <c r="V15" s="176">
        <v>307512</v>
      </c>
      <c r="W15" s="177">
        <v>45586</v>
      </c>
      <c r="X15" s="202">
        <f t="shared" si="6"/>
        <v>309012</v>
      </c>
      <c r="Y15" s="139">
        <v>31440</v>
      </c>
      <c r="Z15" s="179">
        <v>45724</v>
      </c>
      <c r="AA15" s="203">
        <f t="shared" si="7"/>
        <v>32940</v>
      </c>
      <c r="AB15" s="181"/>
      <c r="AC15" s="182"/>
      <c r="AD15" s="204">
        <f t="shared" si="8"/>
        <v>15000</v>
      </c>
      <c r="AE15" s="184">
        <v>315385</v>
      </c>
      <c r="AF15" s="266">
        <v>45882</v>
      </c>
      <c r="AG15" s="205">
        <f t="shared" si="9"/>
        <v>325385</v>
      </c>
      <c r="AH15" s="186">
        <v>307512</v>
      </c>
      <c r="AI15" s="187">
        <v>45583</v>
      </c>
      <c r="AJ15" s="206">
        <f t="shared" si="10"/>
        <v>327512</v>
      </c>
    </row>
    <row r="16" spans="1:36" s="195" customFormat="1" ht="39" customHeight="1" x14ac:dyDescent="0.25">
      <c r="A16" s="321" t="s">
        <v>417</v>
      </c>
      <c r="B16" s="321" t="s">
        <v>413</v>
      </c>
      <c r="C16" s="315">
        <v>148</v>
      </c>
      <c r="D16" s="316" t="s">
        <v>160</v>
      </c>
      <c r="E16" s="192">
        <v>281524</v>
      </c>
      <c r="F16" s="193">
        <f t="shared" si="0"/>
        <v>5097</v>
      </c>
      <c r="G16" s="197">
        <f t="shared" si="1"/>
        <v>286427</v>
      </c>
      <c r="H16" s="149">
        <v>45808</v>
      </c>
      <c r="I16" s="151">
        <v>276427</v>
      </c>
      <c r="J16" s="244">
        <v>268339</v>
      </c>
      <c r="K16" s="245">
        <v>45594</v>
      </c>
      <c r="L16" s="198">
        <f t="shared" si="2"/>
        <v>283339</v>
      </c>
      <c r="M16" s="246">
        <v>261544</v>
      </c>
      <c r="N16" s="247">
        <v>45510</v>
      </c>
      <c r="O16" s="199">
        <f t="shared" si="3"/>
        <v>281544</v>
      </c>
      <c r="P16" s="248">
        <v>268339</v>
      </c>
      <c r="Q16" s="249">
        <v>45594</v>
      </c>
      <c r="R16" s="200">
        <f t="shared" si="4"/>
        <v>273339</v>
      </c>
      <c r="S16" s="250">
        <v>268339</v>
      </c>
      <c r="T16" s="251">
        <v>45594</v>
      </c>
      <c r="U16" s="201">
        <f t="shared" si="5"/>
        <v>269839</v>
      </c>
      <c r="V16" s="252">
        <v>268339</v>
      </c>
      <c r="W16" s="253">
        <v>45594</v>
      </c>
      <c r="X16" s="202">
        <f t="shared" si="6"/>
        <v>269839</v>
      </c>
      <c r="Y16" s="192"/>
      <c r="Z16" s="254"/>
      <c r="AA16" s="203">
        <f t="shared" si="7"/>
        <v>1500</v>
      </c>
      <c r="AB16" s="255"/>
      <c r="AC16" s="256"/>
      <c r="AD16" s="204">
        <f t="shared" si="8"/>
        <v>15000</v>
      </c>
      <c r="AE16" s="257"/>
      <c r="AF16" s="258"/>
      <c r="AG16" s="205">
        <f t="shared" si="9"/>
        <v>10000</v>
      </c>
      <c r="AH16" s="259">
        <v>268318</v>
      </c>
      <c r="AI16" s="260">
        <v>45594</v>
      </c>
      <c r="AJ16" s="206">
        <f t="shared" si="10"/>
        <v>288318</v>
      </c>
    </row>
    <row r="17" spans="1:36" s="195" customFormat="1" ht="39" customHeight="1" x14ac:dyDescent="0.25">
      <c r="A17" s="321" t="s">
        <v>422</v>
      </c>
      <c r="B17" s="321" t="s">
        <v>411</v>
      </c>
      <c r="C17" s="315">
        <v>162</v>
      </c>
      <c r="D17" s="316" t="s">
        <v>168</v>
      </c>
      <c r="E17" s="192">
        <v>242915</v>
      </c>
      <c r="F17" s="193">
        <f t="shared" si="0"/>
        <v>2015</v>
      </c>
      <c r="G17" s="197">
        <f t="shared" si="1"/>
        <v>250900</v>
      </c>
      <c r="H17" s="149">
        <v>44989</v>
      </c>
      <c r="I17" s="151">
        <v>240900</v>
      </c>
      <c r="J17" s="244"/>
      <c r="K17" s="245"/>
      <c r="L17" s="136">
        <f t="shared" si="2"/>
        <v>15000</v>
      </c>
      <c r="M17" s="246"/>
      <c r="N17" s="247"/>
      <c r="O17" s="199">
        <f t="shared" si="3"/>
        <v>20000</v>
      </c>
      <c r="P17" s="248"/>
      <c r="Q17" s="249"/>
      <c r="R17" s="137">
        <f t="shared" ref="R17:R25" si="11">P17+3000</f>
        <v>3000</v>
      </c>
      <c r="S17" s="250"/>
      <c r="T17" s="251"/>
      <c r="U17" s="138">
        <f t="shared" ref="U17:U25" si="12">S17+3000</f>
        <v>3000</v>
      </c>
      <c r="V17" s="252"/>
      <c r="W17" s="253"/>
      <c r="X17" s="178">
        <f t="shared" ref="X17:X25" si="13">V17+3000</f>
        <v>3000</v>
      </c>
      <c r="Y17" s="192"/>
      <c r="Z17" s="254"/>
      <c r="AA17" s="180">
        <f t="shared" si="7"/>
        <v>1500</v>
      </c>
      <c r="AB17" s="255"/>
      <c r="AC17" s="256"/>
      <c r="AD17" s="183">
        <f t="shared" si="8"/>
        <v>15000</v>
      </c>
      <c r="AE17" s="257"/>
      <c r="AF17" s="258"/>
      <c r="AG17" s="185">
        <f t="shared" si="9"/>
        <v>10000</v>
      </c>
      <c r="AH17" s="259">
        <v>241677</v>
      </c>
      <c r="AI17" s="260">
        <v>45076</v>
      </c>
      <c r="AJ17" s="206">
        <f t="shared" si="10"/>
        <v>261677</v>
      </c>
    </row>
    <row r="18" spans="1:36" s="195" customFormat="1" ht="39" customHeight="1" x14ac:dyDescent="0.25">
      <c r="A18" s="321" t="s">
        <v>422</v>
      </c>
      <c r="B18" s="321" t="s">
        <v>411</v>
      </c>
      <c r="C18" s="315">
        <v>163</v>
      </c>
      <c r="D18" s="316" t="s">
        <v>169</v>
      </c>
      <c r="E18" s="192">
        <v>218670</v>
      </c>
      <c r="F18" s="193">
        <f t="shared" si="0"/>
        <v>3770</v>
      </c>
      <c r="G18" s="197">
        <f t="shared" si="1"/>
        <v>224900</v>
      </c>
      <c r="H18" s="149">
        <v>45035</v>
      </c>
      <c r="I18" s="151">
        <v>214900</v>
      </c>
      <c r="J18" s="244"/>
      <c r="K18" s="245"/>
      <c r="L18" s="136">
        <f t="shared" si="2"/>
        <v>15000</v>
      </c>
      <c r="M18" s="246"/>
      <c r="N18" s="247"/>
      <c r="O18" s="199">
        <f t="shared" si="3"/>
        <v>20000</v>
      </c>
      <c r="P18" s="248">
        <v>217721</v>
      </c>
      <c r="Q18" s="249">
        <v>45406</v>
      </c>
      <c r="R18" s="137">
        <f t="shared" si="11"/>
        <v>220721</v>
      </c>
      <c r="S18" s="250">
        <v>217757</v>
      </c>
      <c r="T18" s="251">
        <v>45638</v>
      </c>
      <c r="U18" s="138">
        <f t="shared" si="12"/>
        <v>220757</v>
      </c>
      <c r="V18" s="252">
        <v>217757</v>
      </c>
      <c r="W18" s="253">
        <v>45638</v>
      </c>
      <c r="X18" s="178">
        <f t="shared" si="13"/>
        <v>220757</v>
      </c>
      <c r="Y18" s="192"/>
      <c r="Z18" s="254"/>
      <c r="AA18" s="180">
        <f t="shared" si="7"/>
        <v>1500</v>
      </c>
      <c r="AB18" s="255"/>
      <c r="AC18" s="256"/>
      <c r="AD18" s="183">
        <f t="shared" si="8"/>
        <v>15000</v>
      </c>
      <c r="AE18" s="257"/>
      <c r="AF18" s="258"/>
      <c r="AG18" s="185">
        <f t="shared" si="9"/>
        <v>10000</v>
      </c>
      <c r="AH18" s="259">
        <v>217425</v>
      </c>
      <c r="AI18" s="260">
        <v>45076</v>
      </c>
      <c r="AJ18" s="206">
        <f>AH18+20000</f>
        <v>237425</v>
      </c>
    </row>
    <row r="19" spans="1:36" s="195" customFormat="1" ht="39" customHeight="1" x14ac:dyDescent="0.25">
      <c r="A19" s="321" t="s">
        <v>417</v>
      </c>
      <c r="B19" s="321" t="s">
        <v>411</v>
      </c>
      <c r="C19" s="354">
        <v>169</v>
      </c>
      <c r="D19" s="355" t="s">
        <v>174</v>
      </c>
      <c r="E19" s="332">
        <v>151484</v>
      </c>
      <c r="F19" s="333">
        <f t="shared" si="0"/>
        <v>6284</v>
      </c>
      <c r="G19" s="334">
        <f t="shared" si="1"/>
        <v>155200</v>
      </c>
      <c r="H19" s="326">
        <v>44905</v>
      </c>
      <c r="I19" s="327">
        <v>145200</v>
      </c>
      <c r="J19" s="337"/>
      <c r="K19" s="338"/>
      <c r="L19" s="323">
        <f t="shared" si="2"/>
        <v>15000</v>
      </c>
      <c r="M19" s="339"/>
      <c r="N19" s="340"/>
      <c r="O19" s="335">
        <f t="shared" si="3"/>
        <v>20000</v>
      </c>
      <c r="P19" s="341"/>
      <c r="Q19" s="342"/>
      <c r="R19" s="324">
        <f t="shared" si="11"/>
        <v>3000</v>
      </c>
      <c r="S19" s="343">
        <v>151432</v>
      </c>
      <c r="T19" s="344">
        <v>45668</v>
      </c>
      <c r="U19" s="325">
        <f t="shared" si="12"/>
        <v>154432</v>
      </c>
      <c r="V19" s="345">
        <v>151432</v>
      </c>
      <c r="W19" s="346">
        <v>45668</v>
      </c>
      <c r="X19" s="328">
        <f t="shared" si="13"/>
        <v>154432</v>
      </c>
      <c r="Y19" s="332"/>
      <c r="Z19" s="347"/>
      <c r="AA19" s="329">
        <f t="shared" si="7"/>
        <v>1500</v>
      </c>
      <c r="AB19" s="348"/>
      <c r="AC19" s="349"/>
      <c r="AD19" s="330">
        <f t="shared" si="8"/>
        <v>15000</v>
      </c>
      <c r="AE19" s="350"/>
      <c r="AF19" s="351"/>
      <c r="AG19" s="331">
        <f t="shared" si="9"/>
        <v>10000</v>
      </c>
      <c r="AH19" s="352"/>
      <c r="AI19" s="353"/>
      <c r="AJ19" s="336">
        <f t="shared" ref="AJ19" si="14">AH19+20000</f>
        <v>20000</v>
      </c>
    </row>
    <row r="20" spans="1:36" s="195" customFormat="1" ht="39" customHeight="1" x14ac:dyDescent="0.25">
      <c r="A20" s="321" t="s">
        <v>422</v>
      </c>
      <c r="B20" s="321" t="s">
        <v>411</v>
      </c>
      <c r="C20" s="315">
        <v>170</v>
      </c>
      <c r="D20" s="316" t="s">
        <v>175</v>
      </c>
      <c r="E20" s="192">
        <v>127601</v>
      </c>
      <c r="F20" s="193">
        <f t="shared" si="0"/>
        <v>1901</v>
      </c>
      <c r="G20" s="197">
        <f t="shared" si="1"/>
        <v>135700</v>
      </c>
      <c r="H20" s="149">
        <v>45044</v>
      </c>
      <c r="I20" s="151">
        <v>125700</v>
      </c>
      <c r="J20" s="244"/>
      <c r="K20" s="245"/>
      <c r="L20" s="136">
        <f t="shared" si="2"/>
        <v>15000</v>
      </c>
      <c r="M20" s="246"/>
      <c r="N20" s="247"/>
      <c r="O20" s="199">
        <f t="shared" si="3"/>
        <v>20000</v>
      </c>
      <c r="P20" s="248"/>
      <c r="Q20" s="249"/>
      <c r="R20" s="137">
        <f t="shared" si="11"/>
        <v>3000</v>
      </c>
      <c r="S20" s="250"/>
      <c r="T20" s="251"/>
      <c r="U20" s="138">
        <f t="shared" si="12"/>
        <v>3000</v>
      </c>
      <c r="V20" s="252"/>
      <c r="W20" s="253"/>
      <c r="X20" s="178">
        <f t="shared" si="13"/>
        <v>3000</v>
      </c>
      <c r="Y20" s="192"/>
      <c r="Z20" s="254"/>
      <c r="AA20" s="180">
        <f t="shared" si="7"/>
        <v>1500</v>
      </c>
      <c r="AB20" s="255"/>
      <c r="AC20" s="256"/>
      <c r="AD20" s="183">
        <f t="shared" si="8"/>
        <v>15000</v>
      </c>
      <c r="AE20" s="257"/>
      <c r="AF20" s="258"/>
      <c r="AG20" s="185">
        <f t="shared" si="9"/>
        <v>10000</v>
      </c>
      <c r="AH20" s="259"/>
      <c r="AI20" s="260"/>
      <c r="AJ20" s="206">
        <f t="shared" si="10"/>
        <v>20000</v>
      </c>
    </row>
    <row r="21" spans="1:36" s="195" customFormat="1" ht="39" customHeight="1" x14ac:dyDescent="0.25">
      <c r="A21" s="321" t="s">
        <v>423</v>
      </c>
      <c r="B21" s="321" t="s">
        <v>414</v>
      </c>
      <c r="C21" s="261">
        <v>171</v>
      </c>
      <c r="D21" s="262" t="s">
        <v>176</v>
      </c>
      <c r="E21" s="192" t="s">
        <v>393</v>
      </c>
      <c r="F21" s="193" t="e">
        <f t="shared" si="0"/>
        <v>#VALUE!</v>
      </c>
      <c r="G21" s="197" t="e">
        <f t="shared" si="1"/>
        <v>#VALUE!</v>
      </c>
      <c r="H21" s="149">
        <v>45981</v>
      </c>
      <c r="I21" s="151" t="s">
        <v>393</v>
      </c>
      <c r="J21" s="244" t="s">
        <v>393</v>
      </c>
      <c r="K21" s="245">
        <v>46056</v>
      </c>
      <c r="L21" s="136" t="e">
        <f t="shared" si="2"/>
        <v>#VALUE!</v>
      </c>
      <c r="M21" s="246"/>
      <c r="N21" s="247">
        <v>45981</v>
      </c>
      <c r="O21" s="199">
        <f t="shared" si="3"/>
        <v>20000</v>
      </c>
      <c r="P21" s="248" t="s">
        <v>393</v>
      </c>
      <c r="Q21" s="249">
        <v>45842</v>
      </c>
      <c r="R21" s="137" t="e">
        <f t="shared" si="11"/>
        <v>#VALUE!</v>
      </c>
      <c r="S21" s="250"/>
      <c r="T21" s="251"/>
      <c r="U21" s="138">
        <f t="shared" si="12"/>
        <v>3000</v>
      </c>
      <c r="V21" s="252"/>
      <c r="W21" s="253"/>
      <c r="X21" s="178">
        <f t="shared" si="13"/>
        <v>3000</v>
      </c>
      <c r="Y21" s="192"/>
      <c r="Z21" s="254"/>
      <c r="AA21" s="180">
        <f t="shared" si="7"/>
        <v>1500</v>
      </c>
      <c r="AB21" s="255"/>
      <c r="AC21" s="256"/>
      <c r="AD21" s="183">
        <f t="shared" si="8"/>
        <v>15000</v>
      </c>
      <c r="AE21" s="257">
        <v>32104</v>
      </c>
      <c r="AF21" s="258" t="s">
        <v>347</v>
      </c>
      <c r="AG21" s="185">
        <f t="shared" si="9"/>
        <v>42104</v>
      </c>
      <c r="AH21" s="259"/>
      <c r="AI21" s="260"/>
      <c r="AJ21" s="206">
        <f t="shared" si="10"/>
        <v>20000</v>
      </c>
    </row>
    <row r="22" spans="1:36" s="195" customFormat="1" ht="39" customHeight="1" x14ac:dyDescent="0.25">
      <c r="A22" s="321" t="s">
        <v>417</v>
      </c>
      <c r="B22" s="321" t="s">
        <v>414</v>
      </c>
      <c r="C22" s="315">
        <v>172</v>
      </c>
      <c r="D22" s="316" t="s">
        <v>177</v>
      </c>
      <c r="E22" s="192">
        <v>93054</v>
      </c>
      <c r="F22" s="193">
        <f t="shared" si="0"/>
        <v>1302</v>
      </c>
      <c r="G22" s="197">
        <f t="shared" si="1"/>
        <v>101752</v>
      </c>
      <c r="H22" s="149">
        <v>46102</v>
      </c>
      <c r="I22" s="151">
        <v>91752</v>
      </c>
      <c r="J22" s="244">
        <v>89272</v>
      </c>
      <c r="K22" s="245">
        <v>46063</v>
      </c>
      <c r="L22" s="136">
        <f t="shared" si="2"/>
        <v>104272</v>
      </c>
      <c r="M22" s="246">
        <v>82198</v>
      </c>
      <c r="N22" s="247">
        <v>45949</v>
      </c>
      <c r="O22" s="199">
        <f t="shared" si="3"/>
        <v>102198</v>
      </c>
      <c r="P22" s="248">
        <v>77026</v>
      </c>
      <c r="Q22" s="249">
        <v>45849</v>
      </c>
      <c r="R22" s="137">
        <f t="shared" si="11"/>
        <v>80026</v>
      </c>
      <c r="S22" s="250"/>
      <c r="T22" s="251"/>
      <c r="U22" s="138">
        <f t="shared" si="12"/>
        <v>3000</v>
      </c>
      <c r="V22" s="252"/>
      <c r="W22" s="253"/>
      <c r="X22" s="178">
        <f t="shared" si="13"/>
        <v>3000</v>
      </c>
      <c r="Y22" s="192"/>
      <c r="Z22" s="254"/>
      <c r="AA22" s="180">
        <f t="shared" si="7"/>
        <v>1500</v>
      </c>
      <c r="AB22" s="255"/>
      <c r="AC22" s="256"/>
      <c r="AD22" s="183">
        <f t="shared" si="8"/>
        <v>15000</v>
      </c>
      <c r="AE22" s="257"/>
      <c r="AF22" s="258"/>
      <c r="AG22" s="185">
        <f t="shared" si="9"/>
        <v>10000</v>
      </c>
      <c r="AH22" s="259">
        <v>59787</v>
      </c>
      <c r="AI22" s="260">
        <v>45587</v>
      </c>
      <c r="AJ22" s="206">
        <f t="shared" si="10"/>
        <v>79787</v>
      </c>
    </row>
    <row r="23" spans="1:36" s="195" customFormat="1" ht="39" customHeight="1" x14ac:dyDescent="0.25">
      <c r="A23" s="321" t="s">
        <v>423</v>
      </c>
      <c r="B23" s="321" t="s">
        <v>414</v>
      </c>
      <c r="C23" s="315">
        <v>173</v>
      </c>
      <c r="D23" s="316" t="s">
        <v>178</v>
      </c>
      <c r="E23" s="192">
        <v>142276</v>
      </c>
      <c r="F23" s="193">
        <f t="shared" si="0"/>
        <v>3053</v>
      </c>
      <c r="G23" s="197">
        <f t="shared" si="1"/>
        <v>149223</v>
      </c>
      <c r="H23" s="149">
        <v>46055</v>
      </c>
      <c r="I23" s="151">
        <v>139223</v>
      </c>
      <c r="J23" s="244">
        <v>139223</v>
      </c>
      <c r="K23" s="245">
        <v>46055</v>
      </c>
      <c r="L23" s="136">
        <f t="shared" si="2"/>
        <v>154223</v>
      </c>
      <c r="M23" s="246">
        <v>139223</v>
      </c>
      <c r="N23" s="247">
        <v>46055</v>
      </c>
      <c r="O23" s="199">
        <f t="shared" si="3"/>
        <v>159223</v>
      </c>
      <c r="P23" s="248">
        <v>124687</v>
      </c>
      <c r="Q23" s="249">
        <v>45859</v>
      </c>
      <c r="R23" s="137">
        <f t="shared" si="11"/>
        <v>127687</v>
      </c>
      <c r="S23" s="250">
        <v>125114</v>
      </c>
      <c r="T23" s="251">
        <v>45874</v>
      </c>
      <c r="U23" s="138">
        <f t="shared" si="12"/>
        <v>128114</v>
      </c>
      <c r="V23" s="252">
        <v>103803</v>
      </c>
      <c r="W23" s="253">
        <v>45587</v>
      </c>
      <c r="X23" s="178">
        <f t="shared" si="13"/>
        <v>106803</v>
      </c>
      <c r="Y23" s="192"/>
      <c r="Z23" s="254"/>
      <c r="AA23" s="180">
        <f t="shared" si="7"/>
        <v>1500</v>
      </c>
      <c r="AB23" s="255"/>
      <c r="AC23" s="256"/>
      <c r="AD23" s="183">
        <f t="shared" si="8"/>
        <v>15000</v>
      </c>
      <c r="AE23" s="257">
        <v>99972</v>
      </c>
      <c r="AF23" s="258">
        <v>45481</v>
      </c>
      <c r="AG23" s="185">
        <f t="shared" si="9"/>
        <v>109972</v>
      </c>
      <c r="AH23" s="259">
        <v>103803</v>
      </c>
      <c r="AI23" s="260">
        <v>45587</v>
      </c>
      <c r="AJ23" s="206">
        <f t="shared" si="10"/>
        <v>123803</v>
      </c>
    </row>
    <row r="24" spans="1:36" s="195" customFormat="1" ht="39" customHeight="1" x14ac:dyDescent="0.25">
      <c r="A24" s="321" t="s">
        <v>419</v>
      </c>
      <c r="B24" s="321" t="s">
        <v>414</v>
      </c>
      <c r="C24" s="315">
        <v>174</v>
      </c>
      <c r="D24" s="316" t="s">
        <v>179</v>
      </c>
      <c r="E24" s="192">
        <v>175781</v>
      </c>
      <c r="F24" s="193">
        <f t="shared" si="0"/>
        <v>529</v>
      </c>
      <c r="G24" s="197">
        <f t="shared" si="1"/>
        <v>185252</v>
      </c>
      <c r="H24" s="149">
        <v>46068</v>
      </c>
      <c r="I24" s="151">
        <v>175252</v>
      </c>
      <c r="J24" s="244">
        <v>175252</v>
      </c>
      <c r="K24" s="245">
        <v>46068</v>
      </c>
      <c r="L24" s="136">
        <f t="shared" si="2"/>
        <v>190252</v>
      </c>
      <c r="M24" s="246">
        <v>175252</v>
      </c>
      <c r="N24" s="247">
        <v>46068</v>
      </c>
      <c r="O24" s="199">
        <f t="shared" si="3"/>
        <v>195252</v>
      </c>
      <c r="P24" s="248">
        <v>131019</v>
      </c>
      <c r="Q24" s="249">
        <v>45757</v>
      </c>
      <c r="R24" s="137">
        <f t="shared" si="11"/>
        <v>134019</v>
      </c>
      <c r="S24" s="250">
        <v>131019</v>
      </c>
      <c r="T24" s="251">
        <v>45757</v>
      </c>
      <c r="U24" s="138">
        <f t="shared" si="12"/>
        <v>134019</v>
      </c>
      <c r="V24" s="252"/>
      <c r="W24" s="253"/>
      <c r="X24" s="178">
        <f t="shared" si="13"/>
        <v>3000</v>
      </c>
      <c r="Y24" s="192"/>
      <c r="Z24" s="254"/>
      <c r="AA24" s="180">
        <f t="shared" si="7"/>
        <v>1500</v>
      </c>
      <c r="AB24" s="255"/>
      <c r="AC24" s="256"/>
      <c r="AD24" s="183">
        <f t="shared" si="8"/>
        <v>15000</v>
      </c>
      <c r="AE24" s="257"/>
      <c r="AF24" s="258"/>
      <c r="AG24" s="185">
        <f t="shared" si="9"/>
        <v>10000</v>
      </c>
      <c r="AH24" s="259">
        <v>126623</v>
      </c>
      <c r="AI24" s="260">
        <v>45623</v>
      </c>
      <c r="AJ24" s="206">
        <f t="shared" si="10"/>
        <v>146623</v>
      </c>
    </row>
    <row r="25" spans="1:36" s="195" customFormat="1" ht="37.5" customHeight="1" x14ac:dyDescent="0.25">
      <c r="A25" s="321" t="s">
        <v>419</v>
      </c>
      <c r="B25" s="321" t="s">
        <v>414</v>
      </c>
      <c r="C25" s="315">
        <v>175</v>
      </c>
      <c r="D25" s="316" t="s">
        <v>180</v>
      </c>
      <c r="E25" s="192">
        <v>195738</v>
      </c>
      <c r="F25" s="193">
        <f t="shared" si="0"/>
        <v>5293</v>
      </c>
      <c r="G25" s="197">
        <f t="shared" si="1"/>
        <v>200445</v>
      </c>
      <c r="H25" s="149">
        <v>46095</v>
      </c>
      <c r="I25" s="151">
        <v>190445</v>
      </c>
      <c r="J25" s="244">
        <v>152553</v>
      </c>
      <c r="K25" s="245">
        <v>45949</v>
      </c>
      <c r="L25" s="136">
        <f t="shared" si="2"/>
        <v>167553</v>
      </c>
      <c r="M25" s="246">
        <v>152553</v>
      </c>
      <c r="N25" s="247">
        <v>45949</v>
      </c>
      <c r="O25" s="199">
        <f t="shared" si="3"/>
        <v>172553</v>
      </c>
      <c r="P25" s="248">
        <v>147779</v>
      </c>
      <c r="Q25" s="249">
        <v>45871</v>
      </c>
      <c r="R25" s="137">
        <f t="shared" si="11"/>
        <v>150779</v>
      </c>
      <c r="S25" s="250">
        <v>133051</v>
      </c>
      <c r="T25" s="251">
        <v>45701</v>
      </c>
      <c r="U25" s="138">
        <f t="shared" si="12"/>
        <v>136051</v>
      </c>
      <c r="V25" s="252"/>
      <c r="W25" s="253"/>
      <c r="X25" s="178">
        <f t="shared" si="13"/>
        <v>3000</v>
      </c>
      <c r="Y25" s="192"/>
      <c r="Z25" s="254"/>
      <c r="AA25" s="180">
        <f t="shared" si="7"/>
        <v>1500</v>
      </c>
      <c r="AB25" s="255"/>
      <c r="AC25" s="256"/>
      <c r="AD25" s="183">
        <f t="shared" si="8"/>
        <v>15000</v>
      </c>
      <c r="AE25" s="257"/>
      <c r="AF25" s="258"/>
      <c r="AG25" s="185">
        <f t="shared" si="9"/>
        <v>10000</v>
      </c>
      <c r="AH25" s="259"/>
      <c r="AI25" s="260"/>
      <c r="AJ25" s="206">
        <f t="shared" si="10"/>
        <v>20000</v>
      </c>
    </row>
    <row r="26" spans="1:36" s="195" customFormat="1" ht="39" customHeight="1" x14ac:dyDescent="0.25">
      <c r="A26" s="321" t="s">
        <v>419</v>
      </c>
      <c r="B26" s="321" t="s">
        <v>414</v>
      </c>
      <c r="C26" s="315">
        <v>176</v>
      </c>
      <c r="D26" s="316" t="s">
        <v>397</v>
      </c>
      <c r="E26" s="48">
        <v>118834</v>
      </c>
      <c r="F26" s="87">
        <f>E26-I26</f>
        <v>0</v>
      </c>
      <c r="G26" s="197">
        <f t="shared" si="1"/>
        <v>128834</v>
      </c>
      <c r="H26" s="148">
        <v>46126</v>
      </c>
      <c r="I26" s="265">
        <v>118834</v>
      </c>
      <c r="J26" s="244">
        <v>76101</v>
      </c>
      <c r="K26" s="245">
        <v>45882</v>
      </c>
      <c r="L26" s="198">
        <f t="shared" si="2"/>
        <v>91101</v>
      </c>
      <c r="M26" s="246">
        <v>118834</v>
      </c>
      <c r="N26" s="247">
        <v>46126</v>
      </c>
      <c r="O26" s="199">
        <f t="shared" si="3"/>
        <v>138834</v>
      </c>
      <c r="P26" s="173">
        <v>64887</v>
      </c>
      <c r="Q26" s="173">
        <v>45682</v>
      </c>
      <c r="R26" s="3">
        <f>P26+3000</f>
        <v>67887</v>
      </c>
      <c r="S26" s="267">
        <v>64887</v>
      </c>
      <c r="T26" s="175">
        <v>45682</v>
      </c>
      <c r="U26" s="264">
        <f>S26+1500</f>
        <v>66387</v>
      </c>
      <c r="V26" s="177">
        <v>64887</v>
      </c>
      <c r="W26" s="177">
        <v>45682</v>
      </c>
      <c r="X26" s="268">
        <f>V26+1500</f>
        <v>66387</v>
      </c>
      <c r="Y26" s="179">
        <v>65221</v>
      </c>
      <c r="Z26" s="179">
        <v>45687</v>
      </c>
      <c r="AA26" s="194">
        <f>Y26+1500</f>
        <v>66721</v>
      </c>
      <c r="AB26" s="255"/>
      <c r="AC26" s="256"/>
      <c r="AD26" s="204">
        <f t="shared" si="8"/>
        <v>15000</v>
      </c>
      <c r="AE26" s="257"/>
      <c r="AF26" s="258"/>
      <c r="AG26" s="205">
        <f t="shared" si="9"/>
        <v>10000</v>
      </c>
      <c r="AH26" s="259">
        <v>76050</v>
      </c>
      <c r="AI26" s="260">
        <v>45882</v>
      </c>
      <c r="AJ26" s="206">
        <f t="shared" si="10"/>
        <v>96050</v>
      </c>
    </row>
    <row r="27" spans="1:36" s="195" customFormat="1" ht="39" customHeight="1" x14ac:dyDescent="0.25">
      <c r="A27" s="321" t="s">
        <v>423</v>
      </c>
      <c r="B27" s="321" t="s">
        <v>414</v>
      </c>
      <c r="C27" s="315">
        <v>177</v>
      </c>
      <c r="D27" s="316" t="s">
        <v>181</v>
      </c>
      <c r="E27" s="192">
        <v>92447</v>
      </c>
      <c r="F27" s="193">
        <f t="shared" ref="F27" si="15">E27-I27</f>
        <v>327</v>
      </c>
      <c r="G27" s="197">
        <f t="shared" si="1"/>
        <v>102120</v>
      </c>
      <c r="H27" s="149">
        <v>46119</v>
      </c>
      <c r="I27" s="151">
        <v>92120</v>
      </c>
      <c r="J27" s="244">
        <v>88120</v>
      </c>
      <c r="K27" s="245">
        <v>45960</v>
      </c>
      <c r="L27" s="136">
        <f t="shared" si="2"/>
        <v>103120</v>
      </c>
      <c r="M27" s="246">
        <v>88498</v>
      </c>
      <c r="N27" s="247">
        <v>46037</v>
      </c>
      <c r="O27" s="199">
        <f t="shared" si="3"/>
        <v>108498</v>
      </c>
      <c r="P27" s="248">
        <v>92120</v>
      </c>
      <c r="Q27" s="249">
        <v>46119</v>
      </c>
      <c r="R27" s="137">
        <f t="shared" ref="R27:R31" si="16">P27+3000</f>
        <v>95120</v>
      </c>
      <c r="S27" s="250">
        <v>77137</v>
      </c>
      <c r="T27" s="251">
        <v>45757</v>
      </c>
      <c r="U27" s="138">
        <f t="shared" ref="U27:U30" si="17">S27+3000</f>
        <v>80137</v>
      </c>
      <c r="V27" s="252"/>
      <c r="W27" s="253"/>
      <c r="X27" s="178">
        <f t="shared" ref="X27:X30" si="18">V27+3000</f>
        <v>3000</v>
      </c>
      <c r="Y27" s="192"/>
      <c r="Z27" s="254"/>
      <c r="AA27" s="180">
        <f t="shared" ref="AA27:AA30" si="19">Y27+1500</f>
        <v>1500</v>
      </c>
      <c r="AB27" s="255"/>
      <c r="AC27" s="256"/>
      <c r="AD27" s="183">
        <f t="shared" si="8"/>
        <v>15000</v>
      </c>
      <c r="AE27" s="257">
        <v>32104</v>
      </c>
      <c r="AF27" s="258">
        <v>45521</v>
      </c>
      <c r="AG27" s="185">
        <f t="shared" si="9"/>
        <v>42104</v>
      </c>
      <c r="AH27" s="259">
        <v>74760</v>
      </c>
      <c r="AI27" s="260">
        <v>45586</v>
      </c>
      <c r="AJ27" s="206">
        <f t="shared" si="10"/>
        <v>94760</v>
      </c>
    </row>
    <row r="28" spans="1:36" s="195" customFormat="1" ht="39" customHeight="1" x14ac:dyDescent="0.25">
      <c r="A28" s="321" t="s">
        <v>423</v>
      </c>
      <c r="B28" s="321" t="s">
        <v>414</v>
      </c>
      <c r="C28" s="315">
        <v>178</v>
      </c>
      <c r="D28" s="316" t="s">
        <v>182</v>
      </c>
      <c r="E28" s="192">
        <v>107774</v>
      </c>
      <c r="F28" s="193">
        <f>E28-I28</f>
        <v>6615</v>
      </c>
      <c r="G28" s="197">
        <f t="shared" si="1"/>
        <v>111159</v>
      </c>
      <c r="H28" s="149">
        <v>45990</v>
      </c>
      <c r="I28" s="151">
        <v>101159</v>
      </c>
      <c r="J28" s="244">
        <v>91370</v>
      </c>
      <c r="K28" s="245">
        <v>45892</v>
      </c>
      <c r="L28" s="136">
        <f>J28+15000</f>
        <v>106370</v>
      </c>
      <c r="M28" s="246">
        <v>91370</v>
      </c>
      <c r="N28" s="247">
        <v>45892</v>
      </c>
      <c r="O28" s="199">
        <f t="shared" si="3"/>
        <v>111370</v>
      </c>
      <c r="P28" s="248">
        <v>91370</v>
      </c>
      <c r="Q28" s="249">
        <v>45892</v>
      </c>
      <c r="R28" s="137">
        <f t="shared" si="16"/>
        <v>94370</v>
      </c>
      <c r="S28" s="250">
        <v>77930</v>
      </c>
      <c r="T28" s="251">
        <v>45757</v>
      </c>
      <c r="U28" s="138">
        <f t="shared" si="17"/>
        <v>80930</v>
      </c>
      <c r="V28" s="252"/>
      <c r="W28" s="253"/>
      <c r="X28" s="178">
        <f t="shared" si="18"/>
        <v>3000</v>
      </c>
      <c r="Y28" s="192"/>
      <c r="Z28" s="254"/>
      <c r="AA28" s="180">
        <f t="shared" si="19"/>
        <v>1500</v>
      </c>
      <c r="AB28" s="255"/>
      <c r="AC28" s="256"/>
      <c r="AD28" s="183">
        <f t="shared" si="8"/>
        <v>15000</v>
      </c>
      <c r="AE28" s="257">
        <v>73943</v>
      </c>
      <c r="AF28" s="258">
        <v>45707</v>
      </c>
      <c r="AG28" s="185">
        <f t="shared" si="9"/>
        <v>83943</v>
      </c>
      <c r="AH28" s="259">
        <v>73429</v>
      </c>
      <c r="AI28" s="260">
        <v>45587</v>
      </c>
      <c r="AJ28" s="206">
        <f t="shared" si="10"/>
        <v>93429</v>
      </c>
    </row>
    <row r="29" spans="1:36" s="195" customFormat="1" ht="39" customHeight="1" x14ac:dyDescent="0.25">
      <c r="A29" s="321" t="s">
        <v>422</v>
      </c>
      <c r="B29" s="321" t="s">
        <v>414</v>
      </c>
      <c r="C29" s="315">
        <v>179</v>
      </c>
      <c r="D29" s="316" t="s">
        <v>183</v>
      </c>
      <c r="E29" s="192">
        <v>99292</v>
      </c>
      <c r="F29" s="193">
        <f>E29-I29</f>
        <v>2222</v>
      </c>
      <c r="G29" s="197">
        <f t="shared" si="1"/>
        <v>107070</v>
      </c>
      <c r="H29" s="149">
        <v>46088</v>
      </c>
      <c r="I29" s="151">
        <v>97070</v>
      </c>
      <c r="J29" s="244">
        <v>90740</v>
      </c>
      <c r="K29" s="245">
        <v>45976</v>
      </c>
      <c r="L29" s="136">
        <f t="shared" si="2"/>
        <v>105740</v>
      </c>
      <c r="M29" s="246"/>
      <c r="N29" s="247"/>
      <c r="O29" s="199">
        <f t="shared" si="3"/>
        <v>20000</v>
      </c>
      <c r="P29" s="248"/>
      <c r="Q29" s="249"/>
      <c r="R29" s="137">
        <f t="shared" si="16"/>
        <v>3000</v>
      </c>
      <c r="S29" s="250"/>
      <c r="T29" s="251"/>
      <c r="U29" s="138">
        <f t="shared" si="17"/>
        <v>3000</v>
      </c>
      <c r="V29" s="252"/>
      <c r="W29" s="253"/>
      <c r="X29" s="178">
        <f t="shared" si="18"/>
        <v>3000</v>
      </c>
      <c r="Y29" s="192"/>
      <c r="Z29" s="254"/>
      <c r="AA29" s="180">
        <f t="shared" si="19"/>
        <v>1500</v>
      </c>
      <c r="AB29" s="255"/>
      <c r="AC29" s="256"/>
      <c r="AD29" s="183">
        <f t="shared" si="8"/>
        <v>15000</v>
      </c>
      <c r="AE29" s="257">
        <v>82228</v>
      </c>
      <c r="AF29" s="258">
        <v>45639</v>
      </c>
      <c r="AG29" s="185">
        <f t="shared" si="9"/>
        <v>92228</v>
      </c>
      <c r="AH29" s="259"/>
      <c r="AI29" s="260"/>
      <c r="AJ29" s="206">
        <f t="shared" si="10"/>
        <v>20000</v>
      </c>
    </row>
    <row r="30" spans="1:36" s="195" customFormat="1" ht="39" customHeight="1" x14ac:dyDescent="0.25">
      <c r="A30" s="321" t="s">
        <v>424</v>
      </c>
      <c r="B30" s="321" t="s">
        <v>414</v>
      </c>
      <c r="C30" s="315">
        <v>180</v>
      </c>
      <c r="D30" s="316" t="s">
        <v>184</v>
      </c>
      <c r="E30" s="192">
        <v>134907</v>
      </c>
      <c r="F30" s="193">
        <f>E30-I30</f>
        <v>10983</v>
      </c>
      <c r="G30" s="197">
        <f t="shared" si="1"/>
        <v>133924</v>
      </c>
      <c r="H30" s="149">
        <v>46006</v>
      </c>
      <c r="I30" s="151">
        <v>123924</v>
      </c>
      <c r="J30" s="244">
        <v>134907</v>
      </c>
      <c r="K30" s="245">
        <v>46127</v>
      </c>
      <c r="L30" s="136">
        <f t="shared" si="2"/>
        <v>149907</v>
      </c>
      <c r="M30" s="246">
        <v>100230</v>
      </c>
      <c r="N30" s="247">
        <v>45951</v>
      </c>
      <c r="O30" s="199">
        <f t="shared" si="3"/>
        <v>120230</v>
      </c>
      <c r="P30" s="248">
        <v>88977</v>
      </c>
      <c r="Q30" s="249">
        <v>45864</v>
      </c>
      <c r="R30" s="137">
        <f t="shared" si="16"/>
        <v>91977</v>
      </c>
      <c r="S30" s="250">
        <v>86214</v>
      </c>
      <c r="T30" s="251">
        <v>45836</v>
      </c>
      <c r="U30" s="138">
        <f t="shared" si="17"/>
        <v>89214</v>
      </c>
      <c r="V30" s="252"/>
      <c r="W30" s="253"/>
      <c r="X30" s="178">
        <f t="shared" si="18"/>
        <v>3000</v>
      </c>
      <c r="Y30" s="192">
        <v>79687</v>
      </c>
      <c r="Z30" s="254">
        <v>45751</v>
      </c>
      <c r="AA30" s="180">
        <f t="shared" si="19"/>
        <v>81187</v>
      </c>
      <c r="AB30" s="255"/>
      <c r="AC30" s="256"/>
      <c r="AD30" s="183">
        <f t="shared" si="8"/>
        <v>15000</v>
      </c>
      <c r="AE30" s="257"/>
      <c r="AF30" s="258"/>
      <c r="AG30" s="185">
        <f t="shared" si="9"/>
        <v>10000</v>
      </c>
      <c r="AH30" s="259">
        <v>12595</v>
      </c>
      <c r="AI30" s="260">
        <v>45083</v>
      </c>
      <c r="AJ30" s="206">
        <f t="shared" si="10"/>
        <v>32595</v>
      </c>
    </row>
    <row r="31" spans="1:36" s="195" customFormat="1" ht="39" customHeight="1" x14ac:dyDescent="0.25">
      <c r="A31" s="321" t="s">
        <v>419</v>
      </c>
      <c r="B31" s="321" t="s">
        <v>414</v>
      </c>
      <c r="C31" s="261">
        <v>181</v>
      </c>
      <c r="D31" s="262" t="s">
        <v>398</v>
      </c>
      <c r="E31" s="48">
        <v>84034</v>
      </c>
      <c r="F31" s="87">
        <f t="shared" ref="F31:F54" si="20">E31-I31</f>
        <v>8891</v>
      </c>
      <c r="G31" s="197">
        <f t="shared" si="1"/>
        <v>85143</v>
      </c>
      <c r="H31" s="148">
        <v>45951</v>
      </c>
      <c r="I31" s="265">
        <v>75143</v>
      </c>
      <c r="J31" s="244">
        <v>71045</v>
      </c>
      <c r="K31" s="245">
        <v>45882</v>
      </c>
      <c r="L31" s="198">
        <f t="shared" si="2"/>
        <v>86045</v>
      </c>
      <c r="M31" s="246">
        <v>71045</v>
      </c>
      <c r="N31" s="247">
        <v>45882</v>
      </c>
      <c r="O31" s="199">
        <f t="shared" si="3"/>
        <v>91045</v>
      </c>
      <c r="P31" s="248">
        <v>41764</v>
      </c>
      <c r="Q31" s="173">
        <v>45075</v>
      </c>
      <c r="R31" s="3">
        <f t="shared" si="16"/>
        <v>44764</v>
      </c>
      <c r="S31" s="250">
        <v>44978</v>
      </c>
      <c r="T31" s="251">
        <v>45976</v>
      </c>
      <c r="U31" s="201">
        <f t="shared" si="5"/>
        <v>46478</v>
      </c>
      <c r="V31" s="252"/>
      <c r="W31" s="253"/>
      <c r="X31" s="202">
        <f t="shared" si="6"/>
        <v>1500</v>
      </c>
      <c r="Y31" s="192"/>
      <c r="Z31" s="254"/>
      <c r="AA31" s="203">
        <f t="shared" si="7"/>
        <v>1500</v>
      </c>
      <c r="AB31" s="255"/>
      <c r="AC31" s="256"/>
      <c r="AD31" s="204">
        <f t="shared" si="8"/>
        <v>15000</v>
      </c>
      <c r="AE31" s="257">
        <v>53579</v>
      </c>
      <c r="AF31" s="258">
        <v>45752</v>
      </c>
      <c r="AG31" s="205">
        <f t="shared" si="9"/>
        <v>63579</v>
      </c>
      <c r="AH31" s="259">
        <v>71016</v>
      </c>
      <c r="AI31" s="260">
        <v>45882</v>
      </c>
      <c r="AJ31" s="206">
        <f t="shared" si="10"/>
        <v>91016</v>
      </c>
    </row>
    <row r="32" spans="1:36" s="195" customFormat="1" ht="39" customHeight="1" x14ac:dyDescent="0.25">
      <c r="A32" s="321" t="s">
        <v>419</v>
      </c>
      <c r="B32" s="321" t="s">
        <v>414</v>
      </c>
      <c r="C32" s="315">
        <v>182</v>
      </c>
      <c r="D32" s="316" t="s">
        <v>399</v>
      </c>
      <c r="E32" s="48">
        <v>57146</v>
      </c>
      <c r="F32" s="87">
        <f t="shared" si="20"/>
        <v>3646</v>
      </c>
      <c r="G32" s="197">
        <f t="shared" si="1"/>
        <v>63500</v>
      </c>
      <c r="H32" s="148">
        <v>45836</v>
      </c>
      <c r="I32" s="265">
        <v>53500</v>
      </c>
      <c r="J32" s="244">
        <v>45549</v>
      </c>
      <c r="K32" s="245">
        <v>45882</v>
      </c>
      <c r="L32" s="198">
        <f t="shared" si="2"/>
        <v>60549</v>
      </c>
      <c r="M32" s="246">
        <v>45549</v>
      </c>
      <c r="N32" s="247">
        <v>45882</v>
      </c>
      <c r="O32" s="199">
        <f t="shared" si="3"/>
        <v>65549</v>
      </c>
      <c r="P32" s="248">
        <v>28704</v>
      </c>
      <c r="Q32" s="173">
        <v>45549</v>
      </c>
      <c r="R32" s="3">
        <f t="shared" ref="R32:R53" si="21">P32+3000</f>
        <v>31704</v>
      </c>
      <c r="S32" s="267">
        <v>30576</v>
      </c>
      <c r="T32" s="175">
        <v>45584</v>
      </c>
      <c r="U32" s="264"/>
      <c r="V32" s="252"/>
      <c r="W32" s="253"/>
      <c r="X32" s="202">
        <f t="shared" si="6"/>
        <v>1500</v>
      </c>
      <c r="Y32" s="192"/>
      <c r="Z32" s="254"/>
      <c r="AA32" s="203">
        <f t="shared" si="7"/>
        <v>1500</v>
      </c>
      <c r="AB32" s="255"/>
      <c r="AC32" s="256"/>
      <c r="AD32" s="204">
        <f t="shared" si="8"/>
        <v>15000</v>
      </c>
      <c r="AE32" s="257"/>
      <c r="AF32" s="258"/>
      <c r="AG32" s="205">
        <f t="shared" si="9"/>
        <v>10000</v>
      </c>
      <c r="AH32" s="259">
        <v>44542</v>
      </c>
      <c r="AI32" s="260">
        <v>45861</v>
      </c>
      <c r="AJ32" s="206">
        <f t="shared" si="10"/>
        <v>64542</v>
      </c>
    </row>
    <row r="33" spans="1:36" s="195" customFormat="1" ht="39" customHeight="1" x14ac:dyDescent="0.25">
      <c r="A33" s="321" t="s">
        <v>420</v>
      </c>
      <c r="B33" s="321" t="s">
        <v>414</v>
      </c>
      <c r="C33" s="261">
        <v>183</v>
      </c>
      <c r="D33" s="262" t="s">
        <v>185</v>
      </c>
      <c r="E33" s="192" t="s">
        <v>407</v>
      </c>
      <c r="F33" s="193" t="e">
        <f t="shared" si="20"/>
        <v>#VALUE!</v>
      </c>
      <c r="G33" s="197">
        <f t="shared" si="1"/>
        <v>10000</v>
      </c>
      <c r="H33" s="149">
        <v>45976</v>
      </c>
      <c r="I33" s="151"/>
      <c r="J33" s="244"/>
      <c r="K33" s="245">
        <v>45976</v>
      </c>
      <c r="L33" s="136">
        <f t="shared" si="2"/>
        <v>15000</v>
      </c>
      <c r="M33" s="246"/>
      <c r="N33" s="247">
        <v>45976</v>
      </c>
      <c r="O33" s="199">
        <f t="shared" si="3"/>
        <v>20000</v>
      </c>
      <c r="P33" s="248">
        <v>3746</v>
      </c>
      <c r="Q33" s="249">
        <v>45587</v>
      </c>
      <c r="R33" s="137">
        <f t="shared" si="21"/>
        <v>6746</v>
      </c>
      <c r="S33" s="250">
        <v>3476</v>
      </c>
      <c r="T33" s="251">
        <v>45345</v>
      </c>
      <c r="U33" s="138">
        <f t="shared" ref="U33:U44" si="22">S33+3000</f>
        <v>6476</v>
      </c>
      <c r="V33" s="252"/>
      <c r="W33" s="253"/>
      <c r="X33" s="178">
        <f t="shared" ref="X33:X44" si="23">V33+3000</f>
        <v>3000</v>
      </c>
      <c r="Y33" s="192"/>
      <c r="Z33" s="254"/>
      <c r="AA33" s="180">
        <f t="shared" si="7"/>
        <v>1500</v>
      </c>
      <c r="AB33" s="255"/>
      <c r="AC33" s="256"/>
      <c r="AD33" s="183">
        <f t="shared" si="8"/>
        <v>15000</v>
      </c>
      <c r="AE33" s="257">
        <v>3476</v>
      </c>
      <c r="AF33" s="258">
        <v>45346</v>
      </c>
      <c r="AG33" s="185">
        <f t="shared" si="9"/>
        <v>13476</v>
      </c>
      <c r="AH33" s="259">
        <v>3475</v>
      </c>
      <c r="AI33" s="260">
        <v>45586</v>
      </c>
      <c r="AJ33" s="206">
        <f t="shared" si="10"/>
        <v>23475</v>
      </c>
    </row>
    <row r="34" spans="1:36" s="195" customFormat="1" ht="39" customHeight="1" x14ac:dyDescent="0.25">
      <c r="A34" s="321" t="s">
        <v>423</v>
      </c>
      <c r="B34" s="321" t="s">
        <v>414</v>
      </c>
      <c r="C34" s="261">
        <v>184</v>
      </c>
      <c r="D34" s="262" t="s">
        <v>186</v>
      </c>
      <c r="E34" s="192" t="s">
        <v>407</v>
      </c>
      <c r="F34" s="193" t="e">
        <f t="shared" si="20"/>
        <v>#VALUE!</v>
      </c>
      <c r="G34" s="197">
        <f t="shared" si="1"/>
        <v>85500</v>
      </c>
      <c r="H34" s="149">
        <v>45981</v>
      </c>
      <c r="I34" s="151">
        <v>75500</v>
      </c>
      <c r="J34" s="244"/>
      <c r="K34" s="245">
        <v>45981</v>
      </c>
      <c r="L34" s="136">
        <f t="shared" si="2"/>
        <v>15000</v>
      </c>
      <c r="M34" s="246"/>
      <c r="N34" s="247">
        <v>45981</v>
      </c>
      <c r="O34" s="199">
        <f t="shared" si="3"/>
        <v>20000</v>
      </c>
      <c r="P34" s="248"/>
      <c r="Q34" s="249"/>
      <c r="R34" s="137">
        <f t="shared" si="21"/>
        <v>3000</v>
      </c>
      <c r="S34" s="250"/>
      <c r="T34" s="251"/>
      <c r="U34" s="138">
        <f t="shared" si="22"/>
        <v>3000</v>
      </c>
      <c r="V34" s="252"/>
      <c r="W34" s="253"/>
      <c r="X34" s="178">
        <f t="shared" si="23"/>
        <v>3000</v>
      </c>
      <c r="Y34" s="192"/>
      <c r="Z34" s="254"/>
      <c r="AA34" s="180">
        <f t="shared" si="7"/>
        <v>1500</v>
      </c>
      <c r="AB34" s="255"/>
      <c r="AC34" s="256"/>
      <c r="AD34" s="183">
        <f t="shared" si="8"/>
        <v>15000</v>
      </c>
      <c r="AE34" s="257">
        <v>12506</v>
      </c>
      <c r="AF34" s="258">
        <v>45639</v>
      </c>
      <c r="AG34" s="185">
        <f t="shared" si="9"/>
        <v>22506</v>
      </c>
      <c r="AH34" s="259"/>
      <c r="AI34" s="260"/>
      <c r="AJ34" s="206">
        <f t="shared" si="10"/>
        <v>20000</v>
      </c>
    </row>
    <row r="35" spans="1:36" s="195" customFormat="1" ht="39" customHeight="1" x14ac:dyDescent="0.25">
      <c r="A35" s="321" t="s">
        <v>423</v>
      </c>
      <c r="B35" s="321" t="s">
        <v>414</v>
      </c>
      <c r="C35" s="315">
        <v>186</v>
      </c>
      <c r="D35" s="316" t="s">
        <v>187</v>
      </c>
      <c r="E35" s="192">
        <v>44292</v>
      </c>
      <c r="F35" s="193">
        <f t="shared" si="20"/>
        <v>4402</v>
      </c>
      <c r="G35" s="197">
        <f t="shared" si="1"/>
        <v>49890</v>
      </c>
      <c r="H35" s="149">
        <v>45969</v>
      </c>
      <c r="I35" s="151">
        <v>39890</v>
      </c>
      <c r="J35" s="244">
        <v>27013</v>
      </c>
      <c r="K35" s="245">
        <v>45792</v>
      </c>
      <c r="L35" s="136">
        <f t="shared" si="2"/>
        <v>42013</v>
      </c>
      <c r="M35" s="246"/>
      <c r="N35" s="247"/>
      <c r="O35" s="199">
        <f t="shared" si="3"/>
        <v>20000</v>
      </c>
      <c r="P35" s="248">
        <v>32289</v>
      </c>
      <c r="Q35" s="249">
        <v>45864</v>
      </c>
      <c r="R35" s="137">
        <f t="shared" si="21"/>
        <v>35289</v>
      </c>
      <c r="S35" s="250">
        <v>29843</v>
      </c>
      <c r="T35" s="251">
        <v>45829</v>
      </c>
      <c r="U35" s="138">
        <f t="shared" si="22"/>
        <v>32843</v>
      </c>
      <c r="V35" s="252"/>
      <c r="W35" s="253"/>
      <c r="X35" s="178">
        <f t="shared" si="23"/>
        <v>3000</v>
      </c>
      <c r="Y35" s="192"/>
      <c r="Z35" s="254"/>
      <c r="AA35" s="180">
        <f t="shared" si="7"/>
        <v>1500</v>
      </c>
      <c r="AB35" s="255"/>
      <c r="AC35" s="256"/>
      <c r="AD35" s="183">
        <f t="shared" si="8"/>
        <v>15000</v>
      </c>
      <c r="AE35" s="257">
        <v>21581</v>
      </c>
      <c r="AF35" s="258">
        <v>45643</v>
      </c>
      <c r="AG35" s="185">
        <f t="shared" si="9"/>
        <v>31581</v>
      </c>
      <c r="AH35" s="259"/>
      <c r="AI35" s="260"/>
      <c r="AJ35" s="206">
        <f t="shared" si="10"/>
        <v>20000</v>
      </c>
    </row>
    <row r="36" spans="1:36" s="195" customFormat="1" ht="39" customHeight="1" x14ac:dyDescent="0.25">
      <c r="A36" s="321" t="s">
        <v>423</v>
      </c>
      <c r="B36" s="321" t="s">
        <v>414</v>
      </c>
      <c r="C36" s="315">
        <v>187</v>
      </c>
      <c r="D36" s="316" t="s">
        <v>188</v>
      </c>
      <c r="E36" s="192">
        <v>190329</v>
      </c>
      <c r="F36" s="193">
        <f t="shared" si="20"/>
        <v>8888</v>
      </c>
      <c r="G36" s="197">
        <f t="shared" si="1"/>
        <v>191441</v>
      </c>
      <c r="H36" s="149">
        <v>45961</v>
      </c>
      <c r="I36" s="151">
        <v>181441</v>
      </c>
      <c r="J36" s="244">
        <v>185625</v>
      </c>
      <c r="K36" s="245">
        <v>46044</v>
      </c>
      <c r="L36" s="136">
        <f t="shared" si="2"/>
        <v>200625</v>
      </c>
      <c r="M36" s="246">
        <v>185625</v>
      </c>
      <c r="N36" s="247">
        <v>46044</v>
      </c>
      <c r="O36" s="199">
        <f t="shared" si="3"/>
        <v>205625</v>
      </c>
      <c r="P36" s="248">
        <v>185625</v>
      </c>
      <c r="Q36" s="249">
        <v>46044</v>
      </c>
      <c r="R36" s="137">
        <f t="shared" si="21"/>
        <v>188625</v>
      </c>
      <c r="S36" s="250">
        <v>169737</v>
      </c>
      <c r="T36" s="251">
        <v>45863</v>
      </c>
      <c r="U36" s="138">
        <f t="shared" si="22"/>
        <v>172737</v>
      </c>
      <c r="V36" s="252">
        <v>149647</v>
      </c>
      <c r="W36" s="253">
        <v>45350</v>
      </c>
      <c r="X36" s="178">
        <f t="shared" si="23"/>
        <v>152647</v>
      </c>
      <c r="Y36" s="192"/>
      <c r="Z36" s="254"/>
      <c r="AA36" s="180">
        <f t="shared" si="7"/>
        <v>1500</v>
      </c>
      <c r="AB36" s="255"/>
      <c r="AC36" s="256"/>
      <c r="AD36" s="183">
        <f t="shared" si="8"/>
        <v>15000</v>
      </c>
      <c r="AE36" s="257">
        <v>165296</v>
      </c>
      <c r="AF36" s="258">
        <v>45821</v>
      </c>
      <c r="AG36" s="185">
        <f t="shared" si="9"/>
        <v>175296</v>
      </c>
      <c r="AH36" s="259">
        <v>375187</v>
      </c>
      <c r="AI36" s="260">
        <v>45582</v>
      </c>
      <c r="AJ36" s="206">
        <f t="shared" si="10"/>
        <v>395187</v>
      </c>
    </row>
    <row r="37" spans="1:36" s="195" customFormat="1" ht="39" customHeight="1" x14ac:dyDescent="0.25">
      <c r="A37" s="321" t="s">
        <v>420</v>
      </c>
      <c r="B37" s="321" t="s">
        <v>411</v>
      </c>
      <c r="C37" s="315">
        <v>221</v>
      </c>
      <c r="D37" s="316" t="s">
        <v>203</v>
      </c>
      <c r="E37" s="192">
        <v>63441</v>
      </c>
      <c r="F37" s="193">
        <f t="shared" si="20"/>
        <v>5004</v>
      </c>
      <c r="G37" s="197">
        <f t="shared" si="1"/>
        <v>68437</v>
      </c>
      <c r="H37" s="149">
        <v>46041</v>
      </c>
      <c r="I37" s="151">
        <v>58437</v>
      </c>
      <c r="J37" s="244">
        <v>56246</v>
      </c>
      <c r="K37" s="245">
        <v>45634</v>
      </c>
      <c r="L37" s="136">
        <f t="shared" si="2"/>
        <v>71246</v>
      </c>
      <c r="M37" s="246">
        <v>56210</v>
      </c>
      <c r="N37" s="247">
        <v>45910</v>
      </c>
      <c r="O37" s="199">
        <f t="shared" si="3"/>
        <v>76210</v>
      </c>
      <c r="P37" s="248">
        <v>56246</v>
      </c>
      <c r="Q37" s="249">
        <v>45634</v>
      </c>
      <c r="R37" s="137">
        <f t="shared" si="21"/>
        <v>59246</v>
      </c>
      <c r="S37" s="250"/>
      <c r="T37" s="251"/>
      <c r="U37" s="138">
        <f t="shared" si="22"/>
        <v>3000</v>
      </c>
      <c r="V37" s="252"/>
      <c r="W37" s="253"/>
      <c r="X37" s="178">
        <f t="shared" si="23"/>
        <v>3000</v>
      </c>
      <c r="Y37" s="192"/>
      <c r="Z37" s="254"/>
      <c r="AA37" s="180">
        <f t="shared" si="7"/>
        <v>1500</v>
      </c>
      <c r="AB37" s="255"/>
      <c r="AC37" s="256"/>
      <c r="AD37" s="183">
        <f t="shared" si="8"/>
        <v>15000</v>
      </c>
      <c r="AE37" s="257"/>
      <c r="AF37" s="258"/>
      <c r="AG37" s="185">
        <f t="shared" si="9"/>
        <v>10000</v>
      </c>
      <c r="AH37" s="259">
        <v>56246</v>
      </c>
      <c r="AI37" s="260">
        <v>45634</v>
      </c>
      <c r="AJ37" s="206">
        <f t="shared" si="10"/>
        <v>76246</v>
      </c>
    </row>
    <row r="38" spans="1:36" s="195" customFormat="1" ht="39" customHeight="1" x14ac:dyDescent="0.25">
      <c r="A38" s="321" t="s">
        <v>417</v>
      </c>
      <c r="B38" s="321" t="s">
        <v>411</v>
      </c>
      <c r="C38" s="315">
        <v>222</v>
      </c>
      <c r="D38" s="316" t="s">
        <v>204</v>
      </c>
      <c r="E38" s="192">
        <v>89183</v>
      </c>
      <c r="F38" s="193">
        <f t="shared" si="20"/>
        <v>7648</v>
      </c>
      <c r="G38" s="197">
        <f t="shared" si="1"/>
        <v>91535</v>
      </c>
      <c r="H38" s="149"/>
      <c r="I38" s="151">
        <v>81535</v>
      </c>
      <c r="J38" s="244">
        <v>83223</v>
      </c>
      <c r="K38" s="245">
        <v>45635</v>
      </c>
      <c r="L38" s="136">
        <f t="shared" si="2"/>
        <v>98223</v>
      </c>
      <c r="M38" s="246">
        <v>73972</v>
      </c>
      <c r="N38" s="247">
        <v>45532</v>
      </c>
      <c r="O38" s="199">
        <f t="shared" si="3"/>
        <v>93972</v>
      </c>
      <c r="P38" s="248">
        <v>83223</v>
      </c>
      <c r="Q38" s="249">
        <v>45635</v>
      </c>
      <c r="R38" s="137">
        <f t="shared" si="21"/>
        <v>86223</v>
      </c>
      <c r="S38" s="250"/>
      <c r="T38" s="251"/>
      <c r="U38" s="138">
        <f t="shared" si="22"/>
        <v>3000</v>
      </c>
      <c r="V38" s="252"/>
      <c r="W38" s="253"/>
      <c r="X38" s="178">
        <f t="shared" si="23"/>
        <v>3000</v>
      </c>
      <c r="Y38" s="192"/>
      <c r="Z38" s="254"/>
      <c r="AA38" s="180">
        <f t="shared" si="7"/>
        <v>1500</v>
      </c>
      <c r="AB38" s="255"/>
      <c r="AC38" s="256"/>
      <c r="AD38" s="183">
        <f t="shared" si="8"/>
        <v>15000</v>
      </c>
      <c r="AE38" s="257"/>
      <c r="AF38" s="258"/>
      <c r="AG38" s="185">
        <f t="shared" si="9"/>
        <v>10000</v>
      </c>
      <c r="AH38" s="259">
        <v>83223</v>
      </c>
      <c r="AI38" s="260">
        <v>45635</v>
      </c>
      <c r="AJ38" s="206">
        <f t="shared" si="10"/>
        <v>103223</v>
      </c>
    </row>
    <row r="39" spans="1:36" s="195" customFormat="1" ht="39" customHeight="1" x14ac:dyDescent="0.25">
      <c r="A39" s="321" t="s">
        <v>420</v>
      </c>
      <c r="B39" s="321" t="s">
        <v>411</v>
      </c>
      <c r="C39" s="315">
        <v>223</v>
      </c>
      <c r="D39" s="316" t="s">
        <v>205</v>
      </c>
      <c r="E39" s="192">
        <v>48084</v>
      </c>
      <c r="F39" s="193">
        <f t="shared" si="20"/>
        <v>1146</v>
      </c>
      <c r="G39" s="197">
        <f t="shared" si="1"/>
        <v>56938</v>
      </c>
      <c r="H39" s="149">
        <v>46106</v>
      </c>
      <c r="I39" s="151">
        <v>46938</v>
      </c>
      <c r="J39" s="244">
        <v>46938</v>
      </c>
      <c r="K39" s="245">
        <v>46106</v>
      </c>
      <c r="L39" s="136">
        <f t="shared" si="2"/>
        <v>61938</v>
      </c>
      <c r="M39" s="246">
        <v>46938</v>
      </c>
      <c r="N39" s="247">
        <v>46106</v>
      </c>
      <c r="O39" s="199">
        <f t="shared" si="3"/>
        <v>66938</v>
      </c>
      <c r="P39" s="248"/>
      <c r="Q39" s="249"/>
      <c r="R39" s="137">
        <f t="shared" si="21"/>
        <v>3000</v>
      </c>
      <c r="S39" s="250"/>
      <c r="T39" s="251"/>
      <c r="U39" s="138">
        <f t="shared" si="22"/>
        <v>3000</v>
      </c>
      <c r="V39" s="252"/>
      <c r="W39" s="253"/>
      <c r="X39" s="178">
        <f t="shared" si="23"/>
        <v>3000</v>
      </c>
      <c r="Y39" s="192"/>
      <c r="Z39" s="254"/>
      <c r="AA39" s="180">
        <f t="shared" si="7"/>
        <v>1500</v>
      </c>
      <c r="AB39" s="255"/>
      <c r="AC39" s="256"/>
      <c r="AD39" s="183">
        <f t="shared" si="8"/>
        <v>15000</v>
      </c>
      <c r="AE39" s="257"/>
      <c r="AF39" s="258"/>
      <c r="AG39" s="185">
        <f t="shared" si="9"/>
        <v>10000</v>
      </c>
      <c r="AH39" s="259"/>
      <c r="AI39" s="260">
        <v>45559</v>
      </c>
      <c r="AJ39" s="206">
        <f t="shared" si="10"/>
        <v>20000</v>
      </c>
    </row>
    <row r="40" spans="1:36" s="195" customFormat="1" ht="39" customHeight="1" x14ac:dyDescent="0.25">
      <c r="A40" s="321" t="s">
        <v>420</v>
      </c>
      <c r="B40" s="321" t="s">
        <v>412</v>
      </c>
      <c r="C40" s="315">
        <v>230</v>
      </c>
      <c r="D40" s="316" t="s">
        <v>209</v>
      </c>
      <c r="E40" s="192">
        <v>101922</v>
      </c>
      <c r="F40" s="193">
        <f t="shared" si="20"/>
        <v>356</v>
      </c>
      <c r="G40" s="197">
        <f t="shared" si="1"/>
        <v>111566</v>
      </c>
      <c r="H40" s="149">
        <v>46118</v>
      </c>
      <c r="I40" s="151">
        <v>101566</v>
      </c>
      <c r="J40" s="244">
        <v>94687</v>
      </c>
      <c r="K40" s="245">
        <v>46006</v>
      </c>
      <c r="L40" s="136">
        <f t="shared" si="2"/>
        <v>109687</v>
      </c>
      <c r="M40" s="246">
        <v>101566</v>
      </c>
      <c r="N40" s="247">
        <v>46118</v>
      </c>
      <c r="O40" s="199">
        <f t="shared" si="3"/>
        <v>121566</v>
      </c>
      <c r="P40" s="248">
        <v>101566</v>
      </c>
      <c r="Q40" s="249">
        <v>46118</v>
      </c>
      <c r="R40" s="137">
        <f t="shared" si="21"/>
        <v>104566</v>
      </c>
      <c r="S40" s="250">
        <v>91551</v>
      </c>
      <c r="T40" s="251">
        <v>45623</v>
      </c>
      <c r="U40" s="138">
        <f t="shared" si="22"/>
        <v>94551</v>
      </c>
      <c r="V40" s="252">
        <v>91551</v>
      </c>
      <c r="W40" s="253">
        <v>45623</v>
      </c>
      <c r="X40" s="178">
        <f t="shared" si="23"/>
        <v>94551</v>
      </c>
      <c r="Y40" s="192"/>
      <c r="Z40" s="254"/>
      <c r="AA40" s="180">
        <f t="shared" si="7"/>
        <v>1500</v>
      </c>
      <c r="AB40" s="255"/>
      <c r="AC40" s="256"/>
      <c r="AD40" s="183">
        <f t="shared" si="8"/>
        <v>15000</v>
      </c>
      <c r="AE40" s="257"/>
      <c r="AF40" s="258"/>
      <c r="AG40" s="185">
        <f t="shared" si="9"/>
        <v>10000</v>
      </c>
      <c r="AH40" s="259"/>
      <c r="AI40" s="260"/>
      <c r="AJ40" s="206">
        <f t="shared" si="10"/>
        <v>20000</v>
      </c>
    </row>
    <row r="41" spans="1:36" s="195" customFormat="1" ht="39" customHeight="1" x14ac:dyDescent="0.25">
      <c r="A41" s="321" t="s">
        <v>420</v>
      </c>
      <c r="B41" s="321" t="s">
        <v>412</v>
      </c>
      <c r="C41" s="315">
        <v>231</v>
      </c>
      <c r="D41" s="316" t="s">
        <v>210</v>
      </c>
      <c r="E41" s="192">
        <v>131865</v>
      </c>
      <c r="F41" s="193">
        <f t="shared" si="20"/>
        <v>2198</v>
      </c>
      <c r="G41" s="197">
        <f t="shared" si="1"/>
        <v>139667</v>
      </c>
      <c r="H41" s="149">
        <v>46088</v>
      </c>
      <c r="I41" s="151">
        <v>129667</v>
      </c>
      <c r="J41" s="244">
        <v>129667</v>
      </c>
      <c r="K41" s="245">
        <v>46088</v>
      </c>
      <c r="L41" s="136">
        <f t="shared" si="2"/>
        <v>144667</v>
      </c>
      <c r="M41" s="246">
        <v>129667</v>
      </c>
      <c r="N41" s="247">
        <v>46088</v>
      </c>
      <c r="O41" s="199">
        <f t="shared" si="3"/>
        <v>149667</v>
      </c>
      <c r="P41" s="248">
        <v>121835</v>
      </c>
      <c r="Q41" s="249">
        <v>45712</v>
      </c>
      <c r="R41" s="137">
        <f t="shared" si="21"/>
        <v>124835</v>
      </c>
      <c r="S41" s="250">
        <v>121812</v>
      </c>
      <c r="T41" s="251">
        <v>45663</v>
      </c>
      <c r="U41" s="138">
        <f t="shared" si="22"/>
        <v>124812</v>
      </c>
      <c r="V41" s="252"/>
      <c r="W41" s="253"/>
      <c r="X41" s="178">
        <f t="shared" si="23"/>
        <v>3000</v>
      </c>
      <c r="Y41" s="192"/>
      <c r="Z41" s="254"/>
      <c r="AA41" s="180">
        <f t="shared" si="7"/>
        <v>1500</v>
      </c>
      <c r="AB41" s="255"/>
      <c r="AC41" s="256"/>
      <c r="AD41" s="183">
        <f t="shared" si="8"/>
        <v>15000</v>
      </c>
      <c r="AE41" s="257"/>
      <c r="AF41" s="258"/>
      <c r="AG41" s="185">
        <f t="shared" si="9"/>
        <v>10000</v>
      </c>
      <c r="AH41" s="259">
        <v>121812</v>
      </c>
      <c r="AI41" s="260">
        <v>45663</v>
      </c>
      <c r="AJ41" s="206">
        <f t="shared" si="10"/>
        <v>141812</v>
      </c>
    </row>
    <row r="42" spans="1:36" s="195" customFormat="1" ht="39" customHeight="1" x14ac:dyDescent="0.25">
      <c r="A42" s="321" t="s">
        <v>422</v>
      </c>
      <c r="B42" s="321" t="s">
        <v>412</v>
      </c>
      <c r="C42" s="315">
        <v>232</v>
      </c>
      <c r="D42" s="316" t="s">
        <v>211</v>
      </c>
      <c r="E42" s="192">
        <v>88060</v>
      </c>
      <c r="F42" s="193">
        <f t="shared" si="20"/>
        <v>700</v>
      </c>
      <c r="G42" s="197">
        <f t="shared" si="1"/>
        <v>97360</v>
      </c>
      <c r="H42" s="149">
        <v>46107</v>
      </c>
      <c r="I42" s="151">
        <v>87360</v>
      </c>
      <c r="J42" s="244">
        <v>81511</v>
      </c>
      <c r="K42" s="245">
        <v>46006</v>
      </c>
      <c r="L42" s="136">
        <f t="shared" si="2"/>
        <v>96511</v>
      </c>
      <c r="M42" s="246">
        <v>87360</v>
      </c>
      <c r="N42" s="247">
        <v>46107</v>
      </c>
      <c r="O42" s="199">
        <f t="shared" si="3"/>
        <v>107360</v>
      </c>
      <c r="P42" s="248">
        <v>87360</v>
      </c>
      <c r="Q42" s="249">
        <v>46107</v>
      </c>
      <c r="R42" s="137">
        <f t="shared" si="21"/>
        <v>90360</v>
      </c>
      <c r="S42" s="250">
        <v>79244</v>
      </c>
      <c r="T42" s="251">
        <v>45664</v>
      </c>
      <c r="U42" s="138">
        <f t="shared" si="22"/>
        <v>82244</v>
      </c>
      <c r="V42" s="252">
        <v>79244</v>
      </c>
      <c r="W42" s="253">
        <v>45664</v>
      </c>
      <c r="X42" s="178">
        <f t="shared" si="23"/>
        <v>82244</v>
      </c>
      <c r="Y42" s="192"/>
      <c r="Z42" s="254"/>
      <c r="AA42" s="180">
        <f t="shared" si="7"/>
        <v>1500</v>
      </c>
      <c r="AB42" s="255"/>
      <c r="AC42" s="256"/>
      <c r="AD42" s="183">
        <f t="shared" si="8"/>
        <v>15000</v>
      </c>
      <c r="AE42" s="257"/>
      <c r="AF42" s="258"/>
      <c r="AG42" s="185">
        <f t="shared" si="9"/>
        <v>10000</v>
      </c>
      <c r="AH42" s="259">
        <v>79244</v>
      </c>
      <c r="AI42" s="260">
        <v>45663</v>
      </c>
      <c r="AJ42" s="206">
        <f t="shared" si="10"/>
        <v>99244</v>
      </c>
    </row>
    <row r="43" spans="1:36" s="195" customFormat="1" ht="39" customHeight="1" x14ac:dyDescent="0.25">
      <c r="A43" s="321" t="s">
        <v>422</v>
      </c>
      <c r="B43" s="321" t="s">
        <v>412</v>
      </c>
      <c r="C43" s="261">
        <v>233</v>
      </c>
      <c r="D43" s="262" t="s">
        <v>212</v>
      </c>
      <c r="E43" s="192">
        <v>88557</v>
      </c>
      <c r="F43" s="193">
        <f t="shared" si="20"/>
        <v>9309</v>
      </c>
      <c r="G43" s="197">
        <f t="shared" si="1"/>
        <v>89248</v>
      </c>
      <c r="H43" s="149">
        <v>45724</v>
      </c>
      <c r="I43" s="151">
        <v>79248</v>
      </c>
      <c r="J43" s="244">
        <v>82128</v>
      </c>
      <c r="K43" s="245">
        <v>46006</v>
      </c>
      <c r="L43" s="136">
        <f t="shared" si="2"/>
        <v>97128</v>
      </c>
      <c r="M43" s="246">
        <v>79248</v>
      </c>
      <c r="N43" s="247">
        <v>45724</v>
      </c>
      <c r="O43" s="199">
        <f t="shared" si="3"/>
        <v>99248</v>
      </c>
      <c r="P43" s="248">
        <v>79153</v>
      </c>
      <c r="Q43" s="249">
        <v>45623</v>
      </c>
      <c r="R43" s="137">
        <f t="shared" si="21"/>
        <v>82153</v>
      </c>
      <c r="S43" s="250">
        <v>79153</v>
      </c>
      <c r="T43" s="251">
        <v>45623</v>
      </c>
      <c r="U43" s="138">
        <f t="shared" si="22"/>
        <v>82153</v>
      </c>
      <c r="V43" s="252">
        <v>79153</v>
      </c>
      <c r="W43" s="253">
        <v>45623</v>
      </c>
      <c r="X43" s="178">
        <f t="shared" si="23"/>
        <v>82153</v>
      </c>
      <c r="Y43" s="192"/>
      <c r="Z43" s="254"/>
      <c r="AA43" s="180">
        <f t="shared" si="7"/>
        <v>1500</v>
      </c>
      <c r="AB43" s="255"/>
      <c r="AC43" s="256"/>
      <c r="AD43" s="183">
        <f t="shared" si="8"/>
        <v>15000</v>
      </c>
      <c r="AE43" s="257"/>
      <c r="AF43" s="258"/>
      <c r="AG43" s="185">
        <f t="shared" si="9"/>
        <v>10000</v>
      </c>
      <c r="AH43" s="259"/>
      <c r="AI43" s="260"/>
      <c r="AJ43" s="206">
        <f t="shared" si="10"/>
        <v>20000</v>
      </c>
    </row>
    <row r="44" spans="1:36" s="195" customFormat="1" ht="39" customHeight="1" x14ac:dyDescent="0.25">
      <c r="A44" s="321" t="s">
        <v>422</v>
      </c>
      <c r="B44" s="321" t="s">
        <v>412</v>
      </c>
      <c r="C44" s="315">
        <v>234</v>
      </c>
      <c r="D44" s="316" t="s">
        <v>213</v>
      </c>
      <c r="E44" s="192">
        <v>77344</v>
      </c>
      <c r="F44" s="193">
        <f t="shared" si="20"/>
        <v>2228</v>
      </c>
      <c r="G44" s="197">
        <f t="shared" si="1"/>
        <v>85116</v>
      </c>
      <c r="H44" s="149">
        <v>46088</v>
      </c>
      <c r="I44" s="151">
        <v>75116</v>
      </c>
      <c r="J44" s="244">
        <v>75116</v>
      </c>
      <c r="K44" s="245">
        <v>46088</v>
      </c>
      <c r="L44" s="136">
        <f t="shared" si="2"/>
        <v>90116</v>
      </c>
      <c r="M44" s="246">
        <v>75116</v>
      </c>
      <c r="N44" s="247">
        <v>46088</v>
      </c>
      <c r="O44" s="199">
        <f t="shared" si="3"/>
        <v>95116</v>
      </c>
      <c r="P44" s="248">
        <v>75116</v>
      </c>
      <c r="Q44" s="249">
        <v>45559</v>
      </c>
      <c r="R44" s="137">
        <f t="shared" si="21"/>
        <v>78116</v>
      </c>
      <c r="S44" s="250">
        <v>68041</v>
      </c>
      <c r="T44" s="251">
        <v>45664</v>
      </c>
      <c r="U44" s="138">
        <f t="shared" si="22"/>
        <v>71041</v>
      </c>
      <c r="V44" s="252">
        <v>68041</v>
      </c>
      <c r="W44" s="253">
        <v>45664</v>
      </c>
      <c r="X44" s="178">
        <f t="shared" si="23"/>
        <v>71041</v>
      </c>
      <c r="Y44" s="192"/>
      <c r="Z44" s="254"/>
      <c r="AA44" s="180">
        <f t="shared" si="7"/>
        <v>1500</v>
      </c>
      <c r="AB44" s="255"/>
      <c r="AC44" s="256"/>
      <c r="AD44" s="183">
        <f t="shared" si="8"/>
        <v>15000</v>
      </c>
      <c r="AE44" s="257"/>
      <c r="AF44" s="258"/>
      <c r="AG44" s="185">
        <f t="shared" si="9"/>
        <v>10000</v>
      </c>
      <c r="AH44" s="259">
        <v>68041</v>
      </c>
      <c r="AI44" s="260">
        <v>45663</v>
      </c>
      <c r="AJ44" s="206">
        <f t="shared" si="10"/>
        <v>88041</v>
      </c>
    </row>
    <row r="45" spans="1:36" s="195" customFormat="1" ht="39" customHeight="1" x14ac:dyDescent="0.25">
      <c r="A45" s="321" t="s">
        <v>422</v>
      </c>
      <c r="B45" s="321" t="s">
        <v>415</v>
      </c>
      <c r="C45" s="315">
        <v>240</v>
      </c>
      <c r="D45" s="316" t="s">
        <v>400</v>
      </c>
      <c r="E45" s="48">
        <v>69157</v>
      </c>
      <c r="F45" s="87">
        <f t="shared" si="20"/>
        <v>2166</v>
      </c>
      <c r="G45" s="197">
        <f t="shared" si="1"/>
        <v>76991</v>
      </c>
      <c r="H45" s="148">
        <v>46081</v>
      </c>
      <c r="I45" s="265">
        <v>66991</v>
      </c>
      <c r="J45" s="244">
        <v>30185</v>
      </c>
      <c r="K45" s="245">
        <v>45682</v>
      </c>
      <c r="L45" s="136">
        <f t="shared" si="2"/>
        <v>45185</v>
      </c>
      <c r="M45" s="269">
        <v>30185</v>
      </c>
      <c r="N45" s="172">
        <v>45682</v>
      </c>
      <c r="O45" s="199">
        <f t="shared" si="3"/>
        <v>50185</v>
      </c>
      <c r="P45" s="71">
        <v>44815</v>
      </c>
      <c r="Q45" s="173">
        <v>45682</v>
      </c>
      <c r="R45" s="3">
        <f t="shared" si="21"/>
        <v>47815</v>
      </c>
      <c r="S45" s="267">
        <v>36956</v>
      </c>
      <c r="T45" s="175">
        <v>45574</v>
      </c>
      <c r="U45" s="264">
        <f t="shared" ref="U45:U46" si="24">S45+1500</f>
        <v>38456</v>
      </c>
      <c r="V45" s="270">
        <v>36956</v>
      </c>
      <c r="W45" s="177">
        <v>45574</v>
      </c>
      <c r="X45" s="268">
        <f t="shared" ref="X45" si="25">V45+1500</f>
        <v>38456</v>
      </c>
      <c r="Y45" s="47">
        <v>44815</v>
      </c>
      <c r="Z45" s="179">
        <v>45682</v>
      </c>
      <c r="AA45" s="194">
        <f t="shared" si="7"/>
        <v>46315</v>
      </c>
      <c r="AB45" s="255"/>
      <c r="AC45" s="256"/>
      <c r="AD45" s="183">
        <f t="shared" si="8"/>
        <v>15000</v>
      </c>
      <c r="AE45" s="271">
        <v>34047</v>
      </c>
      <c r="AF45" s="266">
        <v>45682</v>
      </c>
      <c r="AG45" s="272">
        <f t="shared" si="9"/>
        <v>44047</v>
      </c>
      <c r="AH45" s="273">
        <v>44815</v>
      </c>
      <c r="AI45" s="187">
        <v>45682</v>
      </c>
      <c r="AJ45" s="206">
        <f t="shared" si="10"/>
        <v>64815</v>
      </c>
    </row>
    <row r="46" spans="1:36" s="195" customFormat="1" ht="39" customHeight="1" x14ac:dyDescent="0.25">
      <c r="A46" s="321" t="s">
        <v>422</v>
      </c>
      <c r="B46" s="321" t="s">
        <v>415</v>
      </c>
      <c r="C46" s="315">
        <v>241</v>
      </c>
      <c r="D46" s="316" t="s">
        <v>214</v>
      </c>
      <c r="E46" s="192">
        <v>28900</v>
      </c>
      <c r="F46" s="193">
        <f t="shared" si="20"/>
        <v>2236</v>
      </c>
      <c r="G46" s="197">
        <f t="shared" si="1"/>
        <v>36664</v>
      </c>
      <c r="H46" s="149">
        <v>46081</v>
      </c>
      <c r="I46" s="151">
        <v>26664</v>
      </c>
      <c r="J46" s="244">
        <v>22221</v>
      </c>
      <c r="K46" s="245">
        <v>45910</v>
      </c>
      <c r="L46" s="136">
        <f t="shared" si="2"/>
        <v>37221</v>
      </c>
      <c r="M46" s="269">
        <v>22221</v>
      </c>
      <c r="N46" s="172">
        <v>45910</v>
      </c>
      <c r="O46" s="199">
        <f t="shared" si="3"/>
        <v>42221</v>
      </c>
      <c r="P46" s="71">
        <v>22221</v>
      </c>
      <c r="Q46" s="173">
        <v>45910</v>
      </c>
      <c r="R46" s="3">
        <f t="shared" si="21"/>
        <v>25221</v>
      </c>
      <c r="S46" s="267">
        <v>36956</v>
      </c>
      <c r="T46" s="175">
        <v>45574</v>
      </c>
      <c r="U46" s="264">
        <f t="shared" si="24"/>
        <v>38456</v>
      </c>
      <c r="V46" s="252"/>
      <c r="W46" s="253"/>
      <c r="X46" s="178">
        <f t="shared" ref="X46:X51" si="26">V46+3000</f>
        <v>3000</v>
      </c>
      <c r="Y46" s="47">
        <v>44815</v>
      </c>
      <c r="Z46" s="179">
        <v>45682</v>
      </c>
      <c r="AA46" s="194">
        <f t="shared" si="7"/>
        <v>46315</v>
      </c>
      <c r="AB46" s="255"/>
      <c r="AC46" s="256"/>
      <c r="AD46" s="183">
        <f t="shared" si="8"/>
        <v>15000</v>
      </c>
      <c r="AE46" s="271">
        <v>34047</v>
      </c>
      <c r="AF46" s="266">
        <v>45682</v>
      </c>
      <c r="AG46" s="272">
        <f t="shared" si="9"/>
        <v>44047</v>
      </c>
      <c r="AH46" s="273">
        <v>44815</v>
      </c>
      <c r="AI46" s="187">
        <v>45682</v>
      </c>
      <c r="AJ46" s="206">
        <f t="shared" si="10"/>
        <v>64815</v>
      </c>
    </row>
    <row r="47" spans="1:36" s="195" customFormat="1" ht="39" customHeight="1" x14ac:dyDescent="0.25">
      <c r="A47" s="321" t="s">
        <v>422</v>
      </c>
      <c r="B47" s="321" t="s">
        <v>415</v>
      </c>
      <c r="C47" s="315">
        <v>242</v>
      </c>
      <c r="D47" s="316" t="s">
        <v>215</v>
      </c>
      <c r="E47" s="192">
        <v>32358</v>
      </c>
      <c r="F47" s="193">
        <f t="shared" si="20"/>
        <v>6896</v>
      </c>
      <c r="G47" s="197">
        <f t="shared" si="1"/>
        <v>35462</v>
      </c>
      <c r="H47" s="149">
        <v>45500</v>
      </c>
      <c r="I47" s="151">
        <v>25462</v>
      </c>
      <c r="J47" s="244">
        <v>27472</v>
      </c>
      <c r="K47" s="245">
        <v>46040</v>
      </c>
      <c r="L47" s="136">
        <f t="shared" si="2"/>
        <v>42472</v>
      </c>
      <c r="M47" s="246">
        <v>27472</v>
      </c>
      <c r="N47" s="247">
        <v>46039</v>
      </c>
      <c r="O47" s="199">
        <f t="shared" si="3"/>
        <v>47472</v>
      </c>
      <c r="P47" s="248"/>
      <c r="Q47" s="249"/>
      <c r="R47" s="137">
        <f t="shared" si="21"/>
        <v>3000</v>
      </c>
      <c r="S47" s="250"/>
      <c r="T47" s="251"/>
      <c r="U47" s="138">
        <f t="shared" ref="U47:U51" si="27">S47+3000</f>
        <v>3000</v>
      </c>
      <c r="V47" s="252"/>
      <c r="W47" s="253"/>
      <c r="X47" s="178">
        <f t="shared" si="26"/>
        <v>3000</v>
      </c>
      <c r="Y47" s="192"/>
      <c r="Z47" s="254"/>
      <c r="AA47" s="180">
        <f t="shared" si="7"/>
        <v>1500</v>
      </c>
      <c r="AB47" s="255"/>
      <c r="AC47" s="256"/>
      <c r="AD47" s="183">
        <f t="shared" si="8"/>
        <v>15000</v>
      </c>
      <c r="AE47" s="257"/>
      <c r="AF47" s="258"/>
      <c r="AG47" s="185">
        <f t="shared" si="9"/>
        <v>10000</v>
      </c>
      <c r="AH47" s="259"/>
      <c r="AI47" s="260"/>
      <c r="AJ47" s="206">
        <f t="shared" si="10"/>
        <v>20000</v>
      </c>
    </row>
    <row r="48" spans="1:36" s="195" customFormat="1" ht="39" customHeight="1" x14ac:dyDescent="0.25">
      <c r="A48" s="321" t="s">
        <v>422</v>
      </c>
      <c r="B48" s="321" t="s">
        <v>415</v>
      </c>
      <c r="C48" s="315">
        <v>243</v>
      </c>
      <c r="D48" s="316" t="s">
        <v>216</v>
      </c>
      <c r="E48" s="192">
        <v>48053</v>
      </c>
      <c r="F48" s="193">
        <f t="shared" si="20"/>
        <v>8053</v>
      </c>
      <c r="G48" s="197">
        <f t="shared" si="1"/>
        <v>50000</v>
      </c>
      <c r="H48" s="149">
        <v>45584</v>
      </c>
      <c r="I48" s="151">
        <v>40000</v>
      </c>
      <c r="J48" s="244">
        <v>45886</v>
      </c>
      <c r="K48" s="245">
        <v>46036</v>
      </c>
      <c r="L48" s="136">
        <f t="shared" si="2"/>
        <v>60886</v>
      </c>
      <c r="M48" s="246">
        <v>43954</v>
      </c>
      <c r="N48" s="247">
        <v>45936</v>
      </c>
      <c r="O48" s="199">
        <f t="shared" si="3"/>
        <v>63954</v>
      </c>
      <c r="P48" s="248"/>
      <c r="Q48" s="249"/>
      <c r="R48" s="137">
        <f t="shared" si="21"/>
        <v>3000</v>
      </c>
      <c r="S48" s="250"/>
      <c r="T48" s="251"/>
      <c r="U48" s="138">
        <f t="shared" si="27"/>
        <v>3000</v>
      </c>
      <c r="V48" s="252"/>
      <c r="W48" s="253"/>
      <c r="X48" s="178">
        <f t="shared" si="26"/>
        <v>3000</v>
      </c>
      <c r="Y48" s="192"/>
      <c r="Z48" s="254"/>
      <c r="AA48" s="180">
        <f t="shared" si="7"/>
        <v>1500</v>
      </c>
      <c r="AB48" s="255"/>
      <c r="AC48" s="256"/>
      <c r="AD48" s="183">
        <f t="shared" si="8"/>
        <v>15000</v>
      </c>
      <c r="AE48" s="257"/>
      <c r="AF48" s="258"/>
      <c r="AG48" s="185">
        <f t="shared" si="9"/>
        <v>10000</v>
      </c>
      <c r="AH48" s="259"/>
      <c r="AI48" s="260"/>
      <c r="AJ48" s="206">
        <f t="shared" si="10"/>
        <v>20000</v>
      </c>
    </row>
    <row r="49" spans="1:36" s="195" customFormat="1" ht="39" customHeight="1" x14ac:dyDescent="0.25">
      <c r="A49" s="321" t="s">
        <v>422</v>
      </c>
      <c r="B49" s="321" t="s">
        <v>415</v>
      </c>
      <c r="C49" s="315">
        <v>244</v>
      </c>
      <c r="D49" s="316" t="s">
        <v>217</v>
      </c>
      <c r="E49" s="192">
        <v>75833</v>
      </c>
      <c r="F49" s="193">
        <f t="shared" si="20"/>
        <v>6668</v>
      </c>
      <c r="G49" s="197">
        <f t="shared" si="1"/>
        <v>79165</v>
      </c>
      <c r="H49" s="149">
        <v>45977</v>
      </c>
      <c r="I49" s="151">
        <v>69165</v>
      </c>
      <c r="J49" s="244">
        <v>69165</v>
      </c>
      <c r="K49" s="245">
        <v>45977</v>
      </c>
      <c r="L49" s="136">
        <f t="shared" si="2"/>
        <v>84165</v>
      </c>
      <c r="M49" s="246">
        <v>69165</v>
      </c>
      <c r="N49" s="247">
        <v>45977</v>
      </c>
      <c r="O49" s="199">
        <f t="shared" si="3"/>
        <v>89165</v>
      </c>
      <c r="P49" s="248"/>
      <c r="Q49" s="249"/>
      <c r="R49" s="137">
        <f t="shared" si="21"/>
        <v>3000</v>
      </c>
      <c r="S49" s="250"/>
      <c r="T49" s="251"/>
      <c r="U49" s="138">
        <f t="shared" si="27"/>
        <v>3000</v>
      </c>
      <c r="V49" s="252"/>
      <c r="W49" s="253"/>
      <c r="X49" s="178">
        <f t="shared" si="26"/>
        <v>3000</v>
      </c>
      <c r="Y49" s="192"/>
      <c r="Z49" s="254"/>
      <c r="AA49" s="180">
        <f t="shared" si="7"/>
        <v>1500</v>
      </c>
      <c r="AB49" s="255"/>
      <c r="AC49" s="256"/>
      <c r="AD49" s="183">
        <f t="shared" si="8"/>
        <v>15000</v>
      </c>
      <c r="AE49" s="257"/>
      <c r="AF49" s="258"/>
      <c r="AG49" s="185">
        <f t="shared" si="9"/>
        <v>10000</v>
      </c>
      <c r="AH49" s="259"/>
      <c r="AI49" s="260"/>
      <c r="AJ49" s="206">
        <f t="shared" si="10"/>
        <v>20000</v>
      </c>
    </row>
    <row r="50" spans="1:36" s="195" customFormat="1" ht="37.5" customHeight="1" x14ac:dyDescent="0.25">
      <c r="A50" s="321" t="s">
        <v>419</v>
      </c>
      <c r="B50" s="321" t="s">
        <v>415</v>
      </c>
      <c r="C50" s="315">
        <v>245</v>
      </c>
      <c r="D50" s="316" t="s">
        <v>218</v>
      </c>
      <c r="E50" s="192">
        <v>41661</v>
      </c>
      <c r="F50" s="193">
        <f t="shared" si="20"/>
        <v>1651</v>
      </c>
      <c r="G50" s="197">
        <f t="shared" si="1"/>
        <v>50010</v>
      </c>
      <c r="H50" s="149">
        <v>46105</v>
      </c>
      <c r="I50" s="151">
        <v>40010</v>
      </c>
      <c r="J50" s="244">
        <v>40010</v>
      </c>
      <c r="K50" s="245">
        <v>46102</v>
      </c>
      <c r="L50" s="136">
        <f t="shared" si="2"/>
        <v>55010</v>
      </c>
      <c r="M50" s="246"/>
      <c r="N50" s="247"/>
      <c r="O50" s="199">
        <f t="shared" si="3"/>
        <v>20000</v>
      </c>
      <c r="P50" s="248"/>
      <c r="Q50" s="249"/>
      <c r="R50" s="137">
        <f t="shared" si="21"/>
        <v>3000</v>
      </c>
      <c r="S50" s="250"/>
      <c r="T50" s="251"/>
      <c r="U50" s="138">
        <f t="shared" si="27"/>
        <v>3000</v>
      </c>
      <c r="V50" s="252"/>
      <c r="W50" s="253"/>
      <c r="X50" s="178">
        <f t="shared" si="26"/>
        <v>3000</v>
      </c>
      <c r="Y50" s="192"/>
      <c r="Z50" s="254"/>
      <c r="AA50" s="180">
        <f t="shared" si="7"/>
        <v>1500</v>
      </c>
      <c r="AB50" s="255"/>
      <c r="AC50" s="256"/>
      <c r="AD50" s="183">
        <f t="shared" si="8"/>
        <v>15000</v>
      </c>
      <c r="AE50" s="257">
        <v>13542</v>
      </c>
      <c r="AF50" s="258">
        <v>45645</v>
      </c>
      <c r="AG50" s="185">
        <f t="shared" si="9"/>
        <v>23542</v>
      </c>
      <c r="AH50" s="259"/>
      <c r="AI50" s="260"/>
      <c r="AJ50" s="206">
        <f t="shared" si="10"/>
        <v>20000</v>
      </c>
    </row>
    <row r="51" spans="1:36" s="195" customFormat="1" ht="36.75" customHeight="1" x14ac:dyDescent="0.25">
      <c r="A51" s="321" t="s">
        <v>420</v>
      </c>
      <c r="B51" s="321" t="s">
        <v>415</v>
      </c>
      <c r="C51" s="261">
        <v>246</v>
      </c>
      <c r="D51" s="262" t="s">
        <v>219</v>
      </c>
      <c r="E51" s="192">
        <v>29075</v>
      </c>
      <c r="F51" s="193">
        <f t="shared" si="20"/>
        <v>9569</v>
      </c>
      <c r="G51" s="197">
        <f t="shared" si="1"/>
        <v>29506</v>
      </c>
      <c r="H51" s="149">
        <v>45870</v>
      </c>
      <c r="I51" s="151">
        <v>19506</v>
      </c>
      <c r="J51" s="244">
        <v>23262</v>
      </c>
      <c r="K51" s="245">
        <v>46039</v>
      </c>
      <c r="L51" s="136">
        <f t="shared" si="2"/>
        <v>38262</v>
      </c>
      <c r="M51" s="246">
        <v>19506</v>
      </c>
      <c r="N51" s="247">
        <v>45870</v>
      </c>
      <c r="O51" s="199">
        <f t="shared" si="3"/>
        <v>39506</v>
      </c>
      <c r="P51" s="248">
        <v>19506</v>
      </c>
      <c r="Q51" s="249">
        <v>45870</v>
      </c>
      <c r="R51" s="137">
        <f t="shared" si="21"/>
        <v>22506</v>
      </c>
      <c r="S51" s="250"/>
      <c r="T51" s="251"/>
      <c r="U51" s="138">
        <f t="shared" si="27"/>
        <v>3000</v>
      </c>
      <c r="V51" s="252"/>
      <c r="W51" s="253"/>
      <c r="X51" s="178">
        <f t="shared" si="26"/>
        <v>3000</v>
      </c>
      <c r="Y51" s="192"/>
      <c r="Z51" s="254"/>
      <c r="AA51" s="180">
        <f t="shared" si="7"/>
        <v>1500</v>
      </c>
      <c r="AB51" s="255"/>
      <c r="AC51" s="256"/>
      <c r="AD51" s="183">
        <f t="shared" si="8"/>
        <v>15000</v>
      </c>
      <c r="AE51" s="257">
        <v>36247</v>
      </c>
      <c r="AF51" s="258">
        <v>45644</v>
      </c>
      <c r="AG51" s="185">
        <f t="shared" si="9"/>
        <v>46247</v>
      </c>
      <c r="AH51" s="259"/>
      <c r="AI51" s="260"/>
      <c r="AJ51" s="206">
        <f t="shared" si="10"/>
        <v>20000</v>
      </c>
    </row>
    <row r="52" spans="1:36" s="195" customFormat="1" ht="39" customHeight="1" x14ac:dyDescent="0.25">
      <c r="A52" s="321" t="s">
        <v>417</v>
      </c>
      <c r="B52" s="321" t="s">
        <v>415</v>
      </c>
      <c r="C52" s="315">
        <v>247</v>
      </c>
      <c r="D52" s="316" t="s">
        <v>401</v>
      </c>
      <c r="E52" s="48">
        <v>60636</v>
      </c>
      <c r="F52" s="87">
        <f t="shared" si="20"/>
        <v>6255</v>
      </c>
      <c r="G52" s="197">
        <f t="shared" si="1"/>
        <v>64381</v>
      </c>
      <c r="H52" s="148">
        <v>45923</v>
      </c>
      <c r="I52" s="265">
        <v>54381</v>
      </c>
      <c r="J52" s="274">
        <v>54678</v>
      </c>
      <c r="K52" s="170">
        <v>45934</v>
      </c>
      <c r="L52" s="263">
        <f t="shared" si="2"/>
        <v>69678</v>
      </c>
      <c r="M52" s="269">
        <v>54678</v>
      </c>
      <c r="N52" s="172">
        <v>45936</v>
      </c>
      <c r="O52" s="199">
        <f t="shared" si="3"/>
        <v>74678</v>
      </c>
      <c r="P52" s="71">
        <v>54732</v>
      </c>
      <c r="Q52" s="173">
        <v>45971</v>
      </c>
      <c r="R52" s="3">
        <f t="shared" si="21"/>
        <v>57732</v>
      </c>
      <c r="S52" s="267">
        <v>24372</v>
      </c>
      <c r="T52" s="175">
        <v>45574</v>
      </c>
      <c r="U52" s="264">
        <f t="shared" ref="U52" si="28">S52+1500</f>
        <v>25872</v>
      </c>
      <c r="V52" s="270">
        <v>24372</v>
      </c>
      <c r="W52" s="177">
        <v>45584</v>
      </c>
      <c r="X52" s="268">
        <f t="shared" ref="X52" si="29">V52+1500</f>
        <v>25872</v>
      </c>
      <c r="Y52" s="47">
        <v>34047</v>
      </c>
      <c r="Z52" s="179">
        <v>45682</v>
      </c>
      <c r="AA52" s="194">
        <f t="shared" si="7"/>
        <v>35547</v>
      </c>
      <c r="AB52" s="255"/>
      <c r="AC52" s="256"/>
      <c r="AD52" s="204">
        <f t="shared" si="8"/>
        <v>15000</v>
      </c>
      <c r="AE52" s="257"/>
      <c r="AF52" s="258"/>
      <c r="AG52" s="205">
        <f t="shared" si="9"/>
        <v>10000</v>
      </c>
      <c r="AH52" s="273">
        <v>34047</v>
      </c>
      <c r="AI52" s="187">
        <v>45682</v>
      </c>
      <c r="AJ52" s="206">
        <f t="shared" si="10"/>
        <v>54047</v>
      </c>
    </row>
    <row r="53" spans="1:36" s="195" customFormat="1" ht="39" customHeight="1" x14ac:dyDescent="0.25">
      <c r="A53" s="321" t="s">
        <v>419</v>
      </c>
      <c r="B53" s="321" t="s">
        <v>415</v>
      </c>
      <c r="C53" s="315">
        <v>248</v>
      </c>
      <c r="D53" s="316" t="s">
        <v>220</v>
      </c>
      <c r="E53" s="192">
        <v>36408</v>
      </c>
      <c r="F53" s="193">
        <f t="shared" si="20"/>
        <v>1642</v>
      </c>
      <c r="G53" s="197">
        <f t="shared" si="1"/>
        <v>44766</v>
      </c>
      <c r="H53" s="149">
        <v>46102</v>
      </c>
      <c r="I53" s="151">
        <v>34766</v>
      </c>
      <c r="J53" s="244">
        <v>34766</v>
      </c>
      <c r="K53" s="245">
        <v>46102</v>
      </c>
      <c r="L53" s="136">
        <f t="shared" si="2"/>
        <v>49766</v>
      </c>
      <c r="M53" s="246"/>
      <c r="N53" s="247"/>
      <c r="O53" s="199">
        <f t="shared" si="3"/>
        <v>20000</v>
      </c>
      <c r="P53" s="248"/>
      <c r="Q53" s="249"/>
      <c r="R53" s="137">
        <f t="shared" si="21"/>
        <v>3000</v>
      </c>
      <c r="S53" s="250"/>
      <c r="T53" s="251"/>
      <c r="U53" s="138">
        <f t="shared" ref="U53" si="30">S53+3000</f>
        <v>3000</v>
      </c>
      <c r="V53" s="252"/>
      <c r="W53" s="253"/>
      <c r="X53" s="178">
        <f t="shared" ref="X53" si="31">V53+3000</f>
        <v>3000</v>
      </c>
      <c r="Y53" s="192"/>
      <c r="Z53" s="254"/>
      <c r="AA53" s="180">
        <f t="shared" si="7"/>
        <v>1500</v>
      </c>
      <c r="AB53" s="255"/>
      <c r="AC53" s="256"/>
      <c r="AD53" s="183">
        <f t="shared" si="8"/>
        <v>15000</v>
      </c>
      <c r="AE53" s="257"/>
      <c r="AF53" s="258"/>
      <c r="AG53" s="185">
        <f t="shared" si="9"/>
        <v>10000</v>
      </c>
      <c r="AH53" s="259"/>
      <c r="AI53" s="260"/>
      <c r="AJ53" s="206">
        <f t="shared" si="10"/>
        <v>20000</v>
      </c>
    </row>
    <row r="54" spans="1:36" s="195" customFormat="1" ht="39" customHeight="1" x14ac:dyDescent="0.25">
      <c r="A54" s="321" t="s">
        <v>420</v>
      </c>
      <c r="B54" s="321" t="s">
        <v>415</v>
      </c>
      <c r="C54" s="315">
        <v>249</v>
      </c>
      <c r="D54" s="316" t="s">
        <v>402</v>
      </c>
      <c r="E54" s="192">
        <v>77480</v>
      </c>
      <c r="F54" s="87">
        <f t="shared" si="20"/>
        <v>1483</v>
      </c>
      <c r="G54" s="197">
        <f t="shared" si="1"/>
        <v>85997</v>
      </c>
      <c r="H54" s="148">
        <v>46088</v>
      </c>
      <c r="I54" s="265">
        <v>75997</v>
      </c>
      <c r="J54" s="274">
        <v>75997</v>
      </c>
      <c r="K54" s="170">
        <v>46088</v>
      </c>
      <c r="L54" s="263">
        <f t="shared" si="2"/>
        <v>90997</v>
      </c>
      <c r="M54" s="269">
        <v>57968</v>
      </c>
      <c r="N54" s="172">
        <v>45855</v>
      </c>
      <c r="O54" s="199">
        <f t="shared" si="3"/>
        <v>77968</v>
      </c>
      <c r="P54" s="248"/>
      <c r="Q54" s="249"/>
      <c r="R54" s="200">
        <f t="shared" si="4"/>
        <v>5000</v>
      </c>
      <c r="S54" s="250"/>
      <c r="T54" s="251"/>
      <c r="U54" s="201">
        <f t="shared" si="5"/>
        <v>1500</v>
      </c>
      <c r="V54" s="252"/>
      <c r="W54" s="253"/>
      <c r="X54" s="202">
        <f t="shared" si="6"/>
        <v>1500</v>
      </c>
      <c r="Y54" s="192"/>
      <c r="Z54" s="254"/>
      <c r="AA54" s="203">
        <f t="shared" si="7"/>
        <v>1500</v>
      </c>
      <c r="AB54" s="255"/>
      <c r="AC54" s="256"/>
      <c r="AD54" s="204">
        <f t="shared" si="8"/>
        <v>15000</v>
      </c>
      <c r="AE54" s="271">
        <v>30836</v>
      </c>
      <c r="AF54" s="266">
        <v>45682</v>
      </c>
      <c r="AG54" s="272">
        <f t="shared" si="9"/>
        <v>40836</v>
      </c>
      <c r="AH54" s="259"/>
      <c r="AI54" s="260"/>
      <c r="AJ54" s="206">
        <f t="shared" si="10"/>
        <v>20000</v>
      </c>
    </row>
    <row r="55" spans="1:36" s="195" customFormat="1" ht="39" customHeight="1" x14ac:dyDescent="0.25">
      <c r="A55" s="321" t="s">
        <v>417</v>
      </c>
      <c r="B55" s="321" t="s">
        <v>415</v>
      </c>
      <c r="C55" s="315">
        <v>250</v>
      </c>
      <c r="D55" s="316" t="s">
        <v>403</v>
      </c>
      <c r="E55" s="192">
        <v>56635</v>
      </c>
      <c r="F55" s="193">
        <f t="shared" si="0"/>
        <v>8420</v>
      </c>
      <c r="G55" s="197">
        <f t="shared" si="1"/>
        <v>58215</v>
      </c>
      <c r="H55" s="149">
        <v>45927</v>
      </c>
      <c r="I55" s="151">
        <v>48215</v>
      </c>
      <c r="J55" s="244"/>
      <c r="K55" s="245"/>
      <c r="L55" s="198">
        <f t="shared" si="2"/>
        <v>15000</v>
      </c>
      <c r="M55" s="246">
        <v>34300</v>
      </c>
      <c r="N55" s="247">
        <v>45583</v>
      </c>
      <c r="O55" s="199">
        <f t="shared" si="3"/>
        <v>54300</v>
      </c>
      <c r="P55" s="248"/>
      <c r="Q55" s="249"/>
      <c r="R55" s="200">
        <f t="shared" si="4"/>
        <v>5000</v>
      </c>
      <c r="S55" s="250"/>
      <c r="T55" s="251"/>
      <c r="U55" s="201">
        <f t="shared" si="5"/>
        <v>1500</v>
      </c>
      <c r="V55" s="252"/>
      <c r="W55" s="253"/>
      <c r="X55" s="202">
        <f t="shared" si="6"/>
        <v>1500</v>
      </c>
      <c r="Y55" s="192"/>
      <c r="Z55" s="254"/>
      <c r="AA55" s="203">
        <f t="shared" si="7"/>
        <v>1500</v>
      </c>
      <c r="AB55" s="255"/>
      <c r="AC55" s="256"/>
      <c r="AD55" s="204">
        <f t="shared" si="8"/>
        <v>15000</v>
      </c>
      <c r="AE55" s="257">
        <v>52697</v>
      </c>
      <c r="AF55" s="258">
        <v>46037</v>
      </c>
      <c r="AG55" s="205">
        <f t="shared" si="9"/>
        <v>62697</v>
      </c>
      <c r="AH55" s="259"/>
      <c r="AI55" s="260"/>
      <c r="AJ55" s="206">
        <f t="shared" si="10"/>
        <v>20000</v>
      </c>
    </row>
    <row r="56" spans="1:36" s="195" customFormat="1" ht="39" customHeight="1" x14ac:dyDescent="0.25">
      <c r="A56" s="321" t="s">
        <v>419</v>
      </c>
      <c r="B56" s="321" t="s">
        <v>415</v>
      </c>
      <c r="C56" s="315">
        <v>251</v>
      </c>
      <c r="D56" s="316" t="s">
        <v>404</v>
      </c>
      <c r="E56" s="48">
        <v>87360</v>
      </c>
      <c r="F56" s="87">
        <f t="shared" ref="F56" si="32">E56-I56</f>
        <v>6522</v>
      </c>
      <c r="G56" s="197">
        <f t="shared" ref="G56:G57" si="33">I56+10000</f>
        <v>90838</v>
      </c>
      <c r="H56" s="148">
        <v>46060</v>
      </c>
      <c r="I56" s="265">
        <v>80838</v>
      </c>
      <c r="J56" s="274">
        <v>59533</v>
      </c>
      <c r="K56" s="170">
        <v>45836</v>
      </c>
      <c r="L56" s="263">
        <f t="shared" ref="L56" si="34">J56+15000</f>
        <v>74533</v>
      </c>
      <c r="M56" s="269">
        <v>73642</v>
      </c>
      <c r="N56" s="172">
        <v>45983</v>
      </c>
      <c r="O56" s="199">
        <f t="shared" si="3"/>
        <v>93642</v>
      </c>
      <c r="P56" s="71">
        <v>45665</v>
      </c>
      <c r="Q56" s="173">
        <v>45682</v>
      </c>
      <c r="R56" s="3">
        <f t="shared" ref="R56" si="35">P56+3000</f>
        <v>48665</v>
      </c>
      <c r="S56" s="267">
        <v>45665</v>
      </c>
      <c r="T56" s="175">
        <v>45682</v>
      </c>
      <c r="U56" s="264">
        <f t="shared" ref="U56" si="36">S56+1500</f>
        <v>47165</v>
      </c>
      <c r="V56" s="252"/>
      <c r="W56" s="253"/>
      <c r="X56" s="202">
        <f t="shared" ref="X56:X57" si="37">V56+1500</f>
        <v>1500</v>
      </c>
      <c r="Y56" s="47">
        <v>45665</v>
      </c>
      <c r="Z56" s="179">
        <v>45682</v>
      </c>
      <c r="AA56" s="194">
        <f t="shared" ref="AA56" si="38">Y56+1500</f>
        <v>47165</v>
      </c>
      <c r="AB56" s="255"/>
      <c r="AC56" s="256"/>
      <c r="AD56" s="204">
        <f t="shared" ref="AD56:AD57" si="39">AB56+15000</f>
        <v>15000</v>
      </c>
      <c r="AE56" s="271">
        <v>62003</v>
      </c>
      <c r="AF56" s="266">
        <v>45861</v>
      </c>
      <c r="AG56" s="272">
        <f t="shared" ref="AG56" si="40">AE56+10000</f>
        <v>72003</v>
      </c>
      <c r="AH56" s="273">
        <v>45665</v>
      </c>
      <c r="AI56" s="187">
        <v>45682</v>
      </c>
      <c r="AJ56" s="206">
        <f t="shared" ref="AJ56:AJ57" si="41">AH56+20000</f>
        <v>65665</v>
      </c>
    </row>
    <row r="57" spans="1:36" s="195" customFormat="1" ht="39" customHeight="1" x14ac:dyDescent="0.25">
      <c r="A57" s="321" t="s">
        <v>424</v>
      </c>
      <c r="B57" s="321" t="s">
        <v>416</v>
      </c>
      <c r="C57" s="356">
        <v>260</v>
      </c>
      <c r="D57" s="357" t="s">
        <v>221</v>
      </c>
      <c r="E57" s="192">
        <v>136501</v>
      </c>
      <c r="F57" s="193">
        <f t="shared" ref="F57" si="42">E57-I57</f>
        <v>0</v>
      </c>
      <c r="G57" s="278">
        <f t="shared" si="33"/>
        <v>146501</v>
      </c>
      <c r="H57" s="149">
        <v>46127</v>
      </c>
      <c r="I57" s="151">
        <v>136501</v>
      </c>
      <c r="J57" s="244">
        <v>136501</v>
      </c>
      <c r="K57" s="245">
        <v>46127</v>
      </c>
      <c r="L57" s="279">
        <f t="shared" ref="L57" si="43">J57+15000</f>
        <v>151501</v>
      </c>
      <c r="M57" s="246">
        <v>83466</v>
      </c>
      <c r="N57" s="247">
        <v>45938</v>
      </c>
      <c r="O57" s="199">
        <f t="shared" si="3"/>
        <v>103466</v>
      </c>
      <c r="P57" s="248">
        <v>136501</v>
      </c>
      <c r="Q57" s="249">
        <v>46127</v>
      </c>
      <c r="R57" s="280">
        <f t="shared" ref="R57:R58" si="44">P57+5000</f>
        <v>141501</v>
      </c>
      <c r="S57" s="250">
        <v>136501</v>
      </c>
      <c r="T57" s="251">
        <v>46127</v>
      </c>
      <c r="U57" s="281">
        <f t="shared" ref="U57:U58" si="45">S57+1500</f>
        <v>138001</v>
      </c>
      <c r="V57" s="252"/>
      <c r="W57" s="253"/>
      <c r="X57" s="282">
        <f t="shared" si="37"/>
        <v>1500</v>
      </c>
      <c r="Y57" s="192"/>
      <c r="Z57" s="254"/>
      <c r="AA57" s="283">
        <f t="shared" ref="AA57" si="46">Y57+1500</f>
        <v>1500</v>
      </c>
      <c r="AB57" s="255"/>
      <c r="AC57" s="256"/>
      <c r="AD57" s="284">
        <f t="shared" si="39"/>
        <v>15000</v>
      </c>
      <c r="AE57" s="257">
        <v>67983</v>
      </c>
      <c r="AF57" s="258">
        <v>45882</v>
      </c>
      <c r="AG57" s="285">
        <f t="shared" ref="AG57" si="47">AE57+10000</f>
        <v>77983</v>
      </c>
      <c r="AH57" s="259"/>
      <c r="AI57" s="260"/>
      <c r="AJ57" s="286">
        <f t="shared" si="41"/>
        <v>20000</v>
      </c>
    </row>
    <row r="58" spans="1:36" s="195" customFormat="1" ht="39" customHeight="1" x14ac:dyDescent="0.25">
      <c r="A58" s="321" t="s">
        <v>420</v>
      </c>
      <c r="B58" s="321" t="s">
        <v>244</v>
      </c>
      <c r="C58" s="319" t="s">
        <v>243</v>
      </c>
      <c r="D58" s="275" t="s">
        <v>244</v>
      </c>
      <c r="E58" s="287"/>
      <c r="F58" s="288"/>
      <c r="G58" s="304"/>
      <c r="H58" s="305">
        <v>46317</v>
      </c>
      <c r="I58" s="306"/>
      <c r="J58" s="307"/>
      <c r="K58" s="308"/>
      <c r="L58" s="309"/>
      <c r="M58" s="310"/>
      <c r="N58" s="310"/>
      <c r="O58" s="199">
        <f t="shared" ref="O58" si="48">M58+20000</f>
        <v>20000</v>
      </c>
      <c r="P58" s="311"/>
      <c r="Q58" s="312"/>
      <c r="R58" s="280">
        <f t="shared" si="44"/>
        <v>5000</v>
      </c>
      <c r="S58" s="313"/>
      <c r="T58" s="175">
        <v>45864</v>
      </c>
      <c r="U58" s="281">
        <f t="shared" si="45"/>
        <v>1500</v>
      </c>
      <c r="V58" s="291"/>
      <c r="W58" s="291"/>
      <c r="X58" s="291"/>
      <c r="Y58" s="289"/>
      <c r="Z58" s="290"/>
      <c r="AA58" s="291"/>
      <c r="AB58" s="289"/>
      <c r="AC58" s="290"/>
      <c r="AD58" s="291"/>
      <c r="AE58" s="289"/>
      <c r="AF58" s="290"/>
      <c r="AG58" s="291"/>
      <c r="AH58" s="289"/>
      <c r="AI58" s="290"/>
      <c r="AJ58" s="291"/>
    </row>
    <row r="59" spans="1:36" ht="29.25" customHeight="1" x14ac:dyDescent="0.2"/>
    <row r="60" spans="1:36" ht="24" customHeight="1" x14ac:dyDescent="0.2">
      <c r="D60" s="237" t="s">
        <v>317</v>
      </c>
    </row>
    <row r="61" spans="1:36" ht="24" customHeight="1" x14ac:dyDescent="0.2">
      <c r="D61" s="237" t="s">
        <v>319</v>
      </c>
      <c r="H61" s="241" t="s">
        <v>320</v>
      </c>
    </row>
    <row r="65" spans="3:4" ht="24" customHeight="1" x14ac:dyDescent="0.2">
      <c r="C65" s="314"/>
      <c r="D65" s="237" t="s">
        <v>408</v>
      </c>
    </row>
  </sheetData>
  <mergeCells count="1">
    <mergeCell ref="P2:Q2"/>
  </mergeCells>
  <phoneticPr fontId="16" type="noConversion"/>
  <conditionalFormatting sqref="F4:F18 F20:F57">
    <cfRule type="cellIs" dxfId="13" priority="10" operator="greaterThan">
      <formula>6999</formula>
    </cfRule>
  </conditionalFormatting>
  <conditionalFormatting sqref="L4:L18 X4:X18 AA4:AA18 AD4:AD18 AG4:AG18 AJ4:AJ18 O4:O18 R4:R18 U4:U18 U20:U58 R20:R58 O20:O58 AJ20:AJ57 AG20:AG57 AD20:AD57 AA20:AA57 X20:X57 L20:L57">
    <cfRule type="cellIs" dxfId="12" priority="9" operator="lessThanOrEqual">
      <formula>$E4</formula>
    </cfRule>
  </conditionalFormatting>
  <conditionalFormatting sqref="F19">
    <cfRule type="cellIs" dxfId="11" priority="2" operator="greaterThan">
      <formula>6999</formula>
    </cfRule>
  </conditionalFormatting>
  <conditionalFormatting sqref="L19 X19 AA19 AD19 AG19 AJ19 O19 R19 U19">
    <cfRule type="cellIs" dxfId="10" priority="1" operator="lessThanOrEqual">
      <formula>$C19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P71"/>
  <sheetViews>
    <sheetView topLeftCell="A61" zoomScale="120" zoomScaleNormal="120" workbookViewId="0">
      <selection activeCell="AF1" sqref="AF1:AF71"/>
    </sheetView>
  </sheetViews>
  <sheetFormatPr baseColWidth="10" defaultColWidth="11.42578125" defaultRowHeight="18.75" x14ac:dyDescent="0.3"/>
  <cols>
    <col min="1" max="1" width="11.42578125" style="62"/>
    <col min="2" max="2" width="13.5703125" style="62" bestFit="1" customWidth="1"/>
    <col min="3" max="3" width="15.7109375" style="62" customWidth="1"/>
    <col min="4" max="4" width="15.28515625" style="62" customWidth="1"/>
    <col min="5" max="5" width="16.7109375" style="62" customWidth="1"/>
    <col min="6" max="6" width="17.7109375" style="76" customWidth="1"/>
    <col min="7" max="7" width="17.7109375" style="80" customWidth="1"/>
    <col min="8" max="8" width="1.140625" style="77" customWidth="1"/>
    <col min="9" max="9" width="11.42578125" style="62"/>
    <col min="10" max="10" width="14.85546875" style="62" customWidth="1"/>
    <col min="11" max="11" width="16" style="62" customWidth="1"/>
    <col min="12" max="12" width="14.7109375" style="62" customWidth="1"/>
    <col min="13" max="13" width="17.140625" style="80" customWidth="1"/>
    <col min="14" max="14" width="0.85546875" style="62" customWidth="1"/>
    <col min="15" max="15" width="11.42578125" style="62"/>
    <col min="16" max="16" width="16.140625" style="62" customWidth="1"/>
    <col min="17" max="17" width="18.5703125" style="62" customWidth="1"/>
    <col min="18" max="18" width="16.7109375" style="62" customWidth="1"/>
    <col min="19" max="19" width="19.28515625" style="83" customWidth="1"/>
    <col min="20" max="20" width="0.85546875" style="62" customWidth="1"/>
    <col min="21" max="21" width="11.42578125" style="62"/>
    <col min="22" max="22" width="15.28515625" style="62" customWidth="1"/>
    <col min="23" max="23" width="16.28515625" style="62" customWidth="1"/>
    <col min="24" max="24" width="17.140625" style="62" customWidth="1"/>
    <col min="25" max="25" width="17.140625" style="83" customWidth="1"/>
    <col min="26" max="26" width="0.85546875" style="62" customWidth="1"/>
    <col min="27" max="27" width="11.42578125" style="62"/>
    <col min="28" max="28" width="14.7109375" style="62" customWidth="1"/>
    <col min="29" max="29" width="15.28515625" style="62" customWidth="1"/>
    <col min="30" max="30" width="18.28515625" style="62" customWidth="1"/>
    <col min="31" max="31" width="18.28515625" style="83" customWidth="1"/>
    <col min="32" max="32" width="0.85546875" style="62" customWidth="1"/>
    <col min="33" max="33" width="11.42578125" style="62"/>
    <col min="34" max="34" width="15.140625" style="62" customWidth="1"/>
    <col min="35" max="35" width="14.85546875" style="62" customWidth="1"/>
    <col min="36" max="36" width="16.42578125" style="62" customWidth="1"/>
    <col min="37" max="37" width="19.28515625" style="83" customWidth="1"/>
    <col min="38" max="39" width="11.42578125" style="62"/>
    <col min="40" max="40" width="16.42578125" style="62" bestFit="1" customWidth="1"/>
    <col min="41" max="41" width="12" style="62" bestFit="1" customWidth="1"/>
    <col min="42" max="42" width="17.42578125" style="80" customWidth="1"/>
    <col min="43" max="16384" width="11.42578125" style="62"/>
  </cols>
  <sheetData>
    <row r="1" spans="1:42" x14ac:dyDescent="0.3">
      <c r="C1" s="360" t="s">
        <v>245</v>
      </c>
      <c r="D1" s="361"/>
      <c r="E1" s="361"/>
      <c r="F1" s="361"/>
      <c r="G1" s="79"/>
      <c r="H1" s="64"/>
      <c r="I1" s="63" t="s">
        <v>39</v>
      </c>
      <c r="J1" s="63"/>
      <c r="K1" s="63"/>
      <c r="L1" s="63"/>
      <c r="M1" s="81"/>
      <c r="N1" s="65"/>
      <c r="O1" s="360" t="s">
        <v>245</v>
      </c>
      <c r="P1" s="361"/>
      <c r="Q1" s="361"/>
      <c r="R1" s="361"/>
      <c r="S1" s="79"/>
      <c r="T1" s="66"/>
      <c r="U1" s="360" t="s">
        <v>245</v>
      </c>
      <c r="V1" s="361"/>
      <c r="W1" s="361"/>
      <c r="X1" s="361"/>
      <c r="Y1" s="81"/>
      <c r="Z1" s="65"/>
      <c r="AA1" s="360" t="s">
        <v>39</v>
      </c>
      <c r="AB1" s="361"/>
      <c r="AC1" s="361"/>
      <c r="AD1" s="361"/>
      <c r="AE1" s="79"/>
      <c r="AF1" s="66"/>
      <c r="AG1" s="360" t="s">
        <v>39</v>
      </c>
      <c r="AH1" s="361"/>
      <c r="AI1" s="361"/>
      <c r="AJ1" s="361"/>
      <c r="AK1" s="81"/>
      <c r="AL1" s="360" t="s">
        <v>251</v>
      </c>
      <c r="AM1" s="361"/>
      <c r="AN1" s="361"/>
      <c r="AO1" s="361"/>
      <c r="AP1" s="81"/>
    </row>
    <row r="2" spans="1:42" x14ac:dyDescent="0.3">
      <c r="C2" s="360" t="s">
        <v>40</v>
      </c>
      <c r="D2" s="361"/>
      <c r="E2" s="361"/>
      <c r="F2" s="361"/>
      <c r="G2" s="79"/>
      <c r="H2" s="64"/>
      <c r="I2" s="63" t="s">
        <v>40</v>
      </c>
      <c r="J2" s="63"/>
      <c r="K2" s="63"/>
      <c r="L2" s="63"/>
      <c r="M2" s="81"/>
      <c r="N2" s="67"/>
      <c r="O2" s="360" t="s">
        <v>41</v>
      </c>
      <c r="P2" s="361"/>
      <c r="Q2" s="361"/>
      <c r="R2" s="361"/>
      <c r="S2" s="81"/>
      <c r="T2" s="65"/>
      <c r="U2" s="360" t="s">
        <v>42</v>
      </c>
      <c r="V2" s="361"/>
      <c r="W2" s="361"/>
      <c r="X2" s="361"/>
      <c r="Y2" s="81"/>
      <c r="Z2" s="67"/>
      <c r="AA2" s="360" t="s">
        <v>43</v>
      </c>
      <c r="AB2" s="361"/>
      <c r="AC2" s="361"/>
      <c r="AD2" s="361"/>
      <c r="AE2" s="81"/>
      <c r="AF2" s="65"/>
      <c r="AG2" s="360" t="s">
        <v>42</v>
      </c>
      <c r="AH2" s="361"/>
      <c r="AI2" s="361"/>
      <c r="AJ2" s="361"/>
      <c r="AK2" s="81"/>
      <c r="AL2" s="78"/>
      <c r="AM2" s="63"/>
      <c r="AN2" s="63"/>
      <c r="AO2" s="63"/>
      <c r="AP2" s="81"/>
    </row>
    <row r="3" spans="1:42" ht="57.75" customHeight="1" x14ac:dyDescent="0.3">
      <c r="A3" s="68" t="s">
        <v>0</v>
      </c>
      <c r="B3" s="69" t="s">
        <v>1</v>
      </c>
      <c r="C3" s="292" t="s">
        <v>37</v>
      </c>
      <c r="D3" s="292" t="s">
        <v>25</v>
      </c>
      <c r="E3" s="292" t="s">
        <v>38</v>
      </c>
      <c r="F3" s="293" t="s">
        <v>7</v>
      </c>
      <c r="G3" s="294" t="s">
        <v>55</v>
      </c>
      <c r="H3" s="64"/>
      <c r="I3" s="295" t="s">
        <v>37</v>
      </c>
      <c r="J3" s="292" t="s">
        <v>25</v>
      </c>
      <c r="K3" s="292" t="s">
        <v>38</v>
      </c>
      <c r="L3" s="293" t="s">
        <v>7</v>
      </c>
      <c r="M3" s="296" t="s">
        <v>55</v>
      </c>
      <c r="N3" s="67"/>
      <c r="O3" s="292" t="s">
        <v>37</v>
      </c>
      <c r="P3" s="292" t="s">
        <v>25</v>
      </c>
      <c r="Q3" s="292" t="s">
        <v>38</v>
      </c>
      <c r="R3" s="293" t="s">
        <v>7</v>
      </c>
      <c r="S3" s="296" t="s">
        <v>55</v>
      </c>
      <c r="T3" s="67"/>
      <c r="U3" s="292" t="s">
        <v>37</v>
      </c>
      <c r="V3" s="292" t="s">
        <v>25</v>
      </c>
      <c r="W3" s="292" t="s">
        <v>38</v>
      </c>
      <c r="X3" s="293" t="s">
        <v>7</v>
      </c>
      <c r="Y3" s="296" t="s">
        <v>55</v>
      </c>
      <c r="Z3" s="67"/>
      <c r="AA3" s="292" t="s">
        <v>37</v>
      </c>
      <c r="AB3" s="292" t="s">
        <v>25</v>
      </c>
      <c r="AC3" s="292" t="s">
        <v>38</v>
      </c>
      <c r="AD3" s="293" t="s">
        <v>7</v>
      </c>
      <c r="AE3" s="296" t="s">
        <v>55</v>
      </c>
      <c r="AF3" s="67"/>
      <c r="AG3" s="292" t="s">
        <v>37</v>
      </c>
      <c r="AH3" s="292" t="s">
        <v>25</v>
      </c>
      <c r="AI3" s="292" t="s">
        <v>38</v>
      </c>
      <c r="AJ3" s="293" t="s">
        <v>7</v>
      </c>
      <c r="AK3" s="296" t="s">
        <v>55</v>
      </c>
      <c r="AL3" s="292" t="s">
        <v>37</v>
      </c>
      <c r="AM3" s="292" t="s">
        <v>25</v>
      </c>
      <c r="AN3" s="292" t="s">
        <v>38</v>
      </c>
      <c r="AO3" s="292" t="s">
        <v>5</v>
      </c>
      <c r="AP3" s="296" t="s">
        <v>55</v>
      </c>
    </row>
    <row r="4" spans="1:42" x14ac:dyDescent="0.3">
      <c r="A4" s="39">
        <v>105</v>
      </c>
      <c r="B4" s="3" t="s">
        <v>394</v>
      </c>
      <c r="C4" s="72"/>
      <c r="D4" s="72"/>
      <c r="E4" s="72"/>
      <c r="F4" s="297"/>
      <c r="G4" s="85"/>
      <c r="H4" s="299"/>
      <c r="I4" s="72"/>
      <c r="J4" s="72"/>
      <c r="K4" s="72"/>
      <c r="L4" s="72"/>
      <c r="M4" s="85"/>
      <c r="N4" s="84"/>
      <c r="O4" s="72"/>
      <c r="P4" s="72"/>
      <c r="Q4" s="72"/>
      <c r="R4" s="72"/>
      <c r="S4" s="298"/>
      <c r="T4" s="84"/>
      <c r="U4" s="72"/>
      <c r="V4" s="72"/>
      <c r="W4" s="72"/>
      <c r="X4" s="72"/>
      <c r="Y4" s="298"/>
      <c r="Z4" s="84"/>
      <c r="AA4" s="72"/>
      <c r="AB4" s="72"/>
      <c r="AC4" s="72"/>
      <c r="AD4" s="72"/>
      <c r="AE4" s="298"/>
      <c r="AF4" s="84"/>
      <c r="AG4" s="72"/>
      <c r="AH4" s="72"/>
      <c r="AI4" s="72"/>
      <c r="AJ4" s="72"/>
      <c r="AK4" s="298"/>
      <c r="AL4" s="72"/>
      <c r="AM4" s="72"/>
      <c r="AN4" s="72"/>
      <c r="AO4" s="72"/>
      <c r="AP4" s="85"/>
    </row>
    <row r="5" spans="1:42" x14ac:dyDescent="0.3">
      <c r="A5" s="70">
        <v>125</v>
      </c>
      <c r="B5" s="71" t="s">
        <v>145</v>
      </c>
      <c r="C5" s="111">
        <v>45597</v>
      </c>
      <c r="D5" s="92" t="s">
        <v>262</v>
      </c>
      <c r="E5" s="92" t="s">
        <v>265</v>
      </c>
      <c r="F5" s="93">
        <v>45636</v>
      </c>
      <c r="G5" s="1" t="str">
        <f t="shared" ref="G5:G16" ca="1" si="0">IF(F5&lt;TODAY(),"VENCIDO",IF(F5=TODAY(),"VENCE HOY",IF(F5&gt;TODAY(),"")))</f>
        <v>VENCIDO</v>
      </c>
      <c r="H5" s="299"/>
      <c r="I5" s="90">
        <v>2024</v>
      </c>
      <c r="J5" s="95" t="s">
        <v>262</v>
      </c>
      <c r="K5" s="90" t="s">
        <v>266</v>
      </c>
      <c r="L5" s="91">
        <v>45636</v>
      </c>
      <c r="M5" s="1" t="str">
        <f t="shared" ref="M5:M16" ca="1" si="1">IF(L5&lt;TODAY(),"VENCIDO",IF(L5=TODAY(),"VENCE HOY",IF(L5&gt;TODAY(),"")))</f>
        <v>VENCIDO</v>
      </c>
      <c r="N5" s="84"/>
      <c r="O5" s="89">
        <v>2021</v>
      </c>
      <c r="P5" s="22" t="s">
        <v>267</v>
      </c>
      <c r="Q5" s="89" t="s">
        <v>268</v>
      </c>
      <c r="R5" s="91">
        <v>45636</v>
      </c>
      <c r="S5" s="82" t="str">
        <f t="shared" ref="S5:S16" ca="1" si="2">IF(R5&lt;TODAY(),"VENCIDO",IF(R5=TODAY(),"VENCE HOY",IF(R5&gt;TODAY(),"")))</f>
        <v>VENCIDO</v>
      </c>
      <c r="T5" s="84"/>
      <c r="U5" s="90">
        <v>2021</v>
      </c>
      <c r="V5" s="90" t="s">
        <v>267</v>
      </c>
      <c r="W5" s="94" t="s">
        <v>269</v>
      </c>
      <c r="X5" s="91">
        <v>45636</v>
      </c>
      <c r="Y5" s="82" t="str">
        <f t="shared" ref="Y5:Y16" ca="1" si="3">IF(X5&lt;TODAY(),"VENCIDO",IF(X5=TODAY(),"VENCE HOY",IF(X5&gt;TODAY(),"")))</f>
        <v>VENCIDO</v>
      </c>
      <c r="Z5" s="84"/>
      <c r="AA5" s="72"/>
      <c r="AB5" s="72"/>
      <c r="AC5" s="72"/>
      <c r="AD5" s="72"/>
      <c r="AE5" s="82" t="str">
        <f t="shared" ref="AE5:AE16" ca="1" si="4">IF(AD5&lt;TODAY(),"VENCIDO",IF(AD5=TODAY(),"VENCE HOY",IF(AD5&gt;TODAY(),"")))</f>
        <v>VENCIDO</v>
      </c>
      <c r="AF5" s="84"/>
      <c r="AG5" s="72"/>
      <c r="AH5" s="72"/>
      <c r="AI5" s="72"/>
      <c r="AJ5" s="72"/>
      <c r="AK5" s="82" t="str">
        <f t="shared" ref="AK5:AK16" ca="1" si="5">IF(AJ5&lt;TODAY(),"VENCIDO",IF(AJ5=TODAY(),"VENCE HOY",IF(AJ5&gt;TODAY(),"")))</f>
        <v>VENCIDO</v>
      </c>
      <c r="AL5" s="72"/>
      <c r="AM5" s="72"/>
      <c r="AN5" s="72"/>
      <c r="AO5" s="74"/>
      <c r="AP5" s="82" t="str">
        <f t="shared" ref="AP5:AP16" ca="1" si="6">IF(AO5&lt;TODAY(),"VENCIDO",IF(AO5=TODAY(),"VENCE HOY",IF(AO5&gt;TODAY(),"")))</f>
        <v>VENCIDO</v>
      </c>
    </row>
    <row r="6" spans="1:42" x14ac:dyDescent="0.3">
      <c r="A6" s="70">
        <v>130</v>
      </c>
      <c r="B6" s="71" t="s">
        <v>146</v>
      </c>
      <c r="C6" s="157" t="s">
        <v>381</v>
      </c>
      <c r="D6" s="157" t="s">
        <v>262</v>
      </c>
      <c r="E6" s="157" t="s">
        <v>382</v>
      </c>
      <c r="F6" s="159">
        <v>45728</v>
      </c>
      <c r="G6" s="300" t="str">
        <f t="shared" ca="1" si="0"/>
        <v>VENCIDO</v>
      </c>
      <c r="H6" s="301"/>
      <c r="I6" s="157" t="s">
        <v>292</v>
      </c>
      <c r="J6" s="157" t="s">
        <v>262</v>
      </c>
      <c r="K6" s="72" t="s">
        <v>383</v>
      </c>
      <c r="L6" s="74">
        <v>45728</v>
      </c>
      <c r="M6" s="1" t="str">
        <f t="shared" ca="1" si="1"/>
        <v>VENCIDO</v>
      </c>
      <c r="N6" s="84"/>
      <c r="O6" s="106">
        <v>2018</v>
      </c>
      <c r="P6" s="106" t="s">
        <v>321</v>
      </c>
      <c r="Q6" s="106"/>
      <c r="R6" s="72"/>
      <c r="S6" s="82" t="str">
        <f t="shared" ca="1" si="2"/>
        <v>VENCIDO</v>
      </c>
      <c r="T6" s="84"/>
      <c r="U6" s="72">
        <v>2018</v>
      </c>
      <c r="V6" s="72" t="s">
        <v>322</v>
      </c>
      <c r="W6" s="72"/>
      <c r="X6" s="72"/>
      <c r="Y6" s="82" t="str">
        <f t="shared" ca="1" si="3"/>
        <v>VENCIDO</v>
      </c>
      <c r="Z6" s="84"/>
      <c r="AA6" s="72">
        <v>2018</v>
      </c>
      <c r="AB6" s="72" t="s">
        <v>267</v>
      </c>
      <c r="AC6" s="72"/>
      <c r="AD6" s="72"/>
      <c r="AE6" s="82" t="str">
        <f t="shared" ca="1" si="4"/>
        <v>VENCIDO</v>
      </c>
      <c r="AF6" s="84"/>
      <c r="AG6" s="72">
        <v>2018</v>
      </c>
      <c r="AH6" s="72" t="s">
        <v>267</v>
      </c>
      <c r="AI6" s="72"/>
      <c r="AJ6" s="72"/>
      <c r="AK6" s="82" t="str">
        <f t="shared" ca="1" si="5"/>
        <v>VENCIDO</v>
      </c>
      <c r="AL6" s="72"/>
      <c r="AM6" s="72"/>
      <c r="AN6" s="72"/>
      <c r="AO6" s="74"/>
      <c r="AP6" s="82" t="str">
        <f t="shared" ca="1" si="6"/>
        <v>VENCIDO</v>
      </c>
    </row>
    <row r="7" spans="1:42" x14ac:dyDescent="0.3">
      <c r="A7" s="70">
        <v>131</v>
      </c>
      <c r="B7" s="71" t="s">
        <v>147</v>
      </c>
      <c r="C7" s="157"/>
      <c r="D7" s="157"/>
      <c r="E7" s="157"/>
      <c r="F7" s="159"/>
      <c r="G7" s="300" t="str">
        <f t="shared" ca="1" si="0"/>
        <v>VENCIDO</v>
      </c>
      <c r="H7" s="301"/>
      <c r="I7" s="157"/>
      <c r="J7" s="157"/>
      <c r="K7" s="72"/>
      <c r="L7" s="72"/>
      <c r="M7" s="1" t="str">
        <f t="shared" ca="1" si="1"/>
        <v>VENCIDO</v>
      </c>
      <c r="N7" s="84"/>
      <c r="O7" s="106"/>
      <c r="P7" s="106"/>
      <c r="Q7" s="106"/>
      <c r="R7" s="72"/>
      <c r="S7" s="82" t="str">
        <f t="shared" ca="1" si="2"/>
        <v>VENCIDO</v>
      </c>
      <c r="T7" s="84"/>
      <c r="U7" s="72"/>
      <c r="V7" s="72"/>
      <c r="W7" s="72"/>
      <c r="X7" s="72"/>
      <c r="Y7" s="82" t="str">
        <f t="shared" ca="1" si="3"/>
        <v>VENCIDO</v>
      </c>
      <c r="Z7" s="84"/>
      <c r="AA7" s="72"/>
      <c r="AB7" s="72"/>
      <c r="AC7" s="72"/>
      <c r="AD7" s="72"/>
      <c r="AE7" s="82" t="str">
        <f t="shared" ca="1" si="4"/>
        <v>VENCIDO</v>
      </c>
      <c r="AF7" s="84"/>
      <c r="AG7" s="72"/>
      <c r="AH7" s="72"/>
      <c r="AI7" s="72"/>
      <c r="AJ7" s="72"/>
      <c r="AK7" s="82" t="str">
        <f t="shared" ca="1" si="5"/>
        <v>VENCIDO</v>
      </c>
      <c r="AL7" s="72"/>
      <c r="AM7" s="72"/>
      <c r="AN7" s="72"/>
      <c r="AO7" s="74"/>
      <c r="AP7" s="82" t="str">
        <f t="shared" ca="1" si="6"/>
        <v>VENCIDO</v>
      </c>
    </row>
    <row r="8" spans="1:42" x14ac:dyDescent="0.3">
      <c r="A8" s="70">
        <v>132</v>
      </c>
      <c r="B8" s="71" t="s">
        <v>148</v>
      </c>
      <c r="C8" s="157"/>
      <c r="D8" s="157"/>
      <c r="E8" s="157"/>
      <c r="F8" s="159"/>
      <c r="G8" s="300" t="str">
        <f t="shared" ca="1" si="0"/>
        <v>VENCIDO</v>
      </c>
      <c r="H8" s="301"/>
      <c r="I8" s="157"/>
      <c r="J8" s="157"/>
      <c r="K8" s="72"/>
      <c r="L8" s="72"/>
      <c r="M8" s="1" t="str">
        <f t="shared" ca="1" si="1"/>
        <v>VENCIDO</v>
      </c>
      <c r="N8" s="84"/>
      <c r="O8" s="106"/>
      <c r="P8" s="106"/>
      <c r="Q8" s="106"/>
      <c r="R8" s="72"/>
      <c r="S8" s="82" t="str">
        <f t="shared" ca="1" si="2"/>
        <v>VENCIDO</v>
      </c>
      <c r="T8" s="84"/>
      <c r="U8" s="72"/>
      <c r="V8" s="72"/>
      <c r="W8" s="72"/>
      <c r="X8" s="72"/>
      <c r="Y8" s="82" t="str">
        <f t="shared" ca="1" si="3"/>
        <v>VENCIDO</v>
      </c>
      <c r="Z8" s="84"/>
      <c r="AA8" s="72"/>
      <c r="AB8" s="72"/>
      <c r="AC8" s="72"/>
      <c r="AD8" s="72"/>
      <c r="AE8" s="82" t="str">
        <f t="shared" ca="1" si="4"/>
        <v>VENCIDO</v>
      </c>
      <c r="AF8" s="84"/>
      <c r="AG8" s="72"/>
      <c r="AH8" s="72"/>
      <c r="AI8" s="72"/>
      <c r="AJ8" s="72"/>
      <c r="AK8" s="82" t="str">
        <f t="shared" ca="1" si="5"/>
        <v>VENCIDO</v>
      </c>
      <c r="AL8" s="72"/>
      <c r="AM8" s="72"/>
      <c r="AN8" s="72"/>
      <c r="AO8" s="74"/>
      <c r="AP8" s="82" t="str">
        <f t="shared" ca="1" si="6"/>
        <v>VENCIDO</v>
      </c>
    </row>
    <row r="9" spans="1:42" x14ac:dyDescent="0.3">
      <c r="A9" s="70">
        <v>133</v>
      </c>
      <c r="B9" s="71" t="s">
        <v>149</v>
      </c>
      <c r="C9" s="157"/>
      <c r="D9" s="157"/>
      <c r="E9" s="157"/>
      <c r="F9" s="159"/>
      <c r="G9" s="300" t="str">
        <f t="shared" ca="1" si="0"/>
        <v>VENCIDO</v>
      </c>
      <c r="H9" s="301"/>
      <c r="I9" s="157"/>
      <c r="J9" s="157"/>
      <c r="K9" s="72"/>
      <c r="L9" s="72"/>
      <c r="M9" s="1" t="str">
        <f t="shared" ca="1" si="1"/>
        <v>VENCIDO</v>
      </c>
      <c r="N9" s="84"/>
      <c r="O9" s="106"/>
      <c r="P9" s="106"/>
      <c r="Q9" s="106"/>
      <c r="R9" s="72"/>
      <c r="S9" s="82" t="str">
        <f t="shared" ca="1" si="2"/>
        <v>VENCIDO</v>
      </c>
      <c r="T9" s="84"/>
      <c r="U9" s="106"/>
      <c r="V9" s="106"/>
      <c r="W9" s="106"/>
      <c r="X9" s="72"/>
      <c r="Y9" s="82" t="str">
        <f t="shared" ca="1" si="3"/>
        <v>VENCIDO</v>
      </c>
      <c r="Z9" s="84"/>
      <c r="AA9" s="72"/>
      <c r="AB9" s="72"/>
      <c r="AC9" s="72"/>
      <c r="AD9" s="72"/>
      <c r="AE9" s="82" t="str">
        <f t="shared" ca="1" si="4"/>
        <v>VENCIDO</v>
      </c>
      <c r="AF9" s="84"/>
      <c r="AG9" s="72"/>
      <c r="AH9" s="72"/>
      <c r="AI9" s="72"/>
      <c r="AJ9" s="72"/>
      <c r="AK9" s="82" t="str">
        <f t="shared" ca="1" si="5"/>
        <v>VENCIDO</v>
      </c>
      <c r="AL9" s="72"/>
      <c r="AM9" s="72"/>
      <c r="AN9" s="72"/>
      <c r="AO9" s="74"/>
      <c r="AP9" s="82" t="str">
        <f t="shared" ca="1" si="6"/>
        <v>VENCIDO</v>
      </c>
    </row>
    <row r="10" spans="1:42" x14ac:dyDescent="0.3">
      <c r="A10" s="70">
        <v>134</v>
      </c>
      <c r="B10" s="71" t="s">
        <v>150</v>
      </c>
      <c r="C10" s="157">
        <v>2022</v>
      </c>
      <c r="D10" s="157" t="s">
        <v>267</v>
      </c>
      <c r="E10" s="157"/>
      <c r="F10" s="159"/>
      <c r="G10" s="300" t="str">
        <f t="shared" ca="1" si="0"/>
        <v>VENCIDO</v>
      </c>
      <c r="H10" s="301"/>
      <c r="I10" s="157">
        <v>2022</v>
      </c>
      <c r="J10" s="157" t="s">
        <v>267</v>
      </c>
      <c r="K10" s="72"/>
      <c r="L10" s="72"/>
      <c r="M10" s="1" t="str">
        <f t="shared" ca="1" si="1"/>
        <v>VENCIDO</v>
      </c>
      <c r="N10" s="84"/>
      <c r="O10" s="106">
        <v>2018</v>
      </c>
      <c r="P10" s="106" t="s">
        <v>267</v>
      </c>
      <c r="Q10" s="106"/>
      <c r="R10" s="72"/>
      <c r="S10" s="82" t="str">
        <f t="shared" ca="1" si="2"/>
        <v>VENCIDO</v>
      </c>
      <c r="T10" s="84"/>
      <c r="U10" s="106">
        <v>2018</v>
      </c>
      <c r="V10" s="106" t="s">
        <v>267</v>
      </c>
      <c r="W10" s="106"/>
      <c r="X10" s="72"/>
      <c r="Y10" s="82" t="str">
        <f t="shared" ca="1" si="3"/>
        <v>VENCIDO</v>
      </c>
      <c r="Z10" s="84"/>
      <c r="AA10" s="72">
        <v>2018</v>
      </c>
      <c r="AB10" s="72" t="s">
        <v>267</v>
      </c>
      <c r="AC10" s="72"/>
      <c r="AD10" s="72"/>
      <c r="AE10" s="82" t="str">
        <f t="shared" ca="1" si="4"/>
        <v>VENCIDO</v>
      </c>
      <c r="AF10" s="84"/>
      <c r="AG10" s="72">
        <v>2018</v>
      </c>
      <c r="AH10" s="72" t="s">
        <v>267</v>
      </c>
      <c r="AI10" s="72"/>
      <c r="AJ10" s="72"/>
      <c r="AK10" s="82" t="str">
        <f t="shared" ca="1" si="5"/>
        <v>VENCIDO</v>
      </c>
      <c r="AL10" s="72"/>
      <c r="AM10" s="72"/>
      <c r="AN10" s="72"/>
      <c r="AO10" s="74"/>
      <c r="AP10" s="82" t="str">
        <f t="shared" ca="1" si="6"/>
        <v>VENCIDO</v>
      </c>
    </row>
    <row r="11" spans="1:42" x14ac:dyDescent="0.3">
      <c r="A11" s="70">
        <v>135</v>
      </c>
      <c r="B11" s="71" t="s">
        <v>151</v>
      </c>
      <c r="C11" s="95" t="s">
        <v>292</v>
      </c>
      <c r="D11" s="103" t="s">
        <v>262</v>
      </c>
      <c r="E11" s="103" t="s">
        <v>293</v>
      </c>
      <c r="F11" s="73">
        <v>45684</v>
      </c>
      <c r="G11" s="1" t="str">
        <f t="shared" ca="1" si="0"/>
        <v>VENCIDO</v>
      </c>
      <c r="H11" s="299"/>
      <c r="I11" s="103" t="s">
        <v>292</v>
      </c>
      <c r="J11" s="103" t="s">
        <v>262</v>
      </c>
      <c r="K11" s="103" t="s">
        <v>294</v>
      </c>
      <c r="L11" s="74">
        <v>45684</v>
      </c>
      <c r="M11" s="1" t="str">
        <f t="shared" ca="1" si="1"/>
        <v>VENCIDO</v>
      </c>
      <c r="N11" s="84"/>
      <c r="O11" s="106">
        <v>2018</v>
      </c>
      <c r="P11" s="106" t="s">
        <v>267</v>
      </c>
      <c r="Q11" s="106"/>
      <c r="R11" s="72"/>
      <c r="S11" s="82" t="str">
        <f t="shared" ca="1" si="2"/>
        <v>VENCIDO</v>
      </c>
      <c r="T11" s="84"/>
      <c r="U11" s="106">
        <v>2018</v>
      </c>
      <c r="V11" s="106" t="s">
        <v>267</v>
      </c>
      <c r="W11" s="106"/>
      <c r="X11" s="72"/>
      <c r="Y11" s="82" t="str">
        <f t="shared" ca="1" si="3"/>
        <v>VENCIDO</v>
      </c>
      <c r="Z11" s="84"/>
      <c r="AA11" s="112">
        <v>44562</v>
      </c>
      <c r="AB11" s="103" t="s">
        <v>267</v>
      </c>
      <c r="AC11" s="103" t="s">
        <v>295</v>
      </c>
      <c r="AD11" s="74">
        <v>45682</v>
      </c>
      <c r="AE11" s="82" t="str">
        <f t="shared" ca="1" si="4"/>
        <v>VENCIDO</v>
      </c>
      <c r="AF11" s="84"/>
      <c r="AG11" s="112">
        <v>44562</v>
      </c>
      <c r="AH11" s="103" t="s">
        <v>267</v>
      </c>
      <c r="AI11" s="103" t="s">
        <v>296</v>
      </c>
      <c r="AJ11" s="74">
        <v>45684</v>
      </c>
      <c r="AK11" s="82" t="str">
        <f t="shared" ca="1" si="5"/>
        <v>VENCIDO</v>
      </c>
      <c r="AL11" s="72"/>
      <c r="AM11" s="72"/>
      <c r="AN11" s="72"/>
      <c r="AO11" s="74"/>
      <c r="AP11" s="82" t="str">
        <f t="shared" ca="1" si="6"/>
        <v>VENCIDO</v>
      </c>
    </row>
    <row r="12" spans="1:42" x14ac:dyDescent="0.3">
      <c r="A12" s="70">
        <v>136</v>
      </c>
      <c r="B12" s="71" t="s">
        <v>152</v>
      </c>
      <c r="C12" s="72"/>
      <c r="D12" s="72"/>
      <c r="E12" s="72"/>
      <c r="F12" s="73"/>
      <c r="G12" s="1" t="str">
        <f t="shared" ca="1" si="0"/>
        <v>VENCIDO</v>
      </c>
      <c r="H12" s="299"/>
      <c r="I12" s="72"/>
      <c r="J12" s="72"/>
      <c r="K12" s="72"/>
      <c r="L12" s="72"/>
      <c r="M12" s="1" t="str">
        <f t="shared" ca="1" si="1"/>
        <v>VENCIDO</v>
      </c>
      <c r="N12" s="84"/>
      <c r="O12" s="106"/>
      <c r="P12" s="106"/>
      <c r="Q12" s="106"/>
      <c r="R12" s="72"/>
      <c r="S12" s="82" t="str">
        <f t="shared" ca="1" si="2"/>
        <v>VENCIDO</v>
      </c>
      <c r="T12" s="84"/>
      <c r="U12" s="106"/>
      <c r="V12" s="106"/>
      <c r="W12" s="106"/>
      <c r="X12" s="72"/>
      <c r="Y12" s="82" t="str">
        <f t="shared" ca="1" si="3"/>
        <v>VENCIDO</v>
      </c>
      <c r="Z12" s="84"/>
      <c r="AA12" s="72"/>
      <c r="AB12" s="72"/>
      <c r="AC12" s="72"/>
      <c r="AD12" s="72"/>
      <c r="AE12" s="82" t="str">
        <f t="shared" ca="1" si="4"/>
        <v>VENCIDO</v>
      </c>
      <c r="AF12" s="84"/>
      <c r="AG12" s="72"/>
      <c r="AH12" s="72"/>
      <c r="AI12" s="72"/>
      <c r="AJ12" s="72"/>
      <c r="AK12" s="82" t="str">
        <f t="shared" ca="1" si="5"/>
        <v>VENCIDO</v>
      </c>
      <c r="AL12" s="72"/>
      <c r="AM12" s="72"/>
      <c r="AN12" s="72"/>
      <c r="AO12" s="74"/>
      <c r="AP12" s="82" t="str">
        <f t="shared" ca="1" si="6"/>
        <v>VENCIDO</v>
      </c>
    </row>
    <row r="13" spans="1:42" x14ac:dyDescent="0.3">
      <c r="A13" s="70">
        <v>137</v>
      </c>
      <c r="B13" s="71" t="s">
        <v>153</v>
      </c>
      <c r="C13" s="72"/>
      <c r="D13" s="72"/>
      <c r="E13" s="72"/>
      <c r="F13" s="73"/>
      <c r="G13" s="1" t="str">
        <f t="shared" ca="1" si="0"/>
        <v>VENCIDO</v>
      </c>
      <c r="H13" s="299"/>
      <c r="I13" s="72"/>
      <c r="J13" s="72"/>
      <c r="K13" s="72"/>
      <c r="L13" s="72"/>
      <c r="M13" s="1" t="str">
        <f t="shared" ca="1" si="1"/>
        <v>VENCIDO</v>
      </c>
      <c r="N13" s="84"/>
      <c r="O13" s="106"/>
      <c r="P13" s="106"/>
      <c r="Q13" s="106"/>
      <c r="R13" s="72"/>
      <c r="S13" s="82" t="str">
        <f t="shared" ca="1" si="2"/>
        <v>VENCIDO</v>
      </c>
      <c r="T13" s="84"/>
      <c r="U13" s="106"/>
      <c r="V13" s="106"/>
      <c r="W13" s="106"/>
      <c r="X13" s="72"/>
      <c r="Y13" s="82" t="str">
        <f t="shared" ca="1" si="3"/>
        <v>VENCIDO</v>
      </c>
      <c r="Z13" s="84"/>
      <c r="AA13" s="72"/>
      <c r="AB13" s="72"/>
      <c r="AC13" s="72"/>
      <c r="AD13" s="72"/>
      <c r="AE13" s="82" t="str">
        <f t="shared" ca="1" si="4"/>
        <v>VENCIDO</v>
      </c>
      <c r="AF13" s="84"/>
      <c r="AG13" s="72"/>
      <c r="AH13" s="72"/>
      <c r="AI13" s="72"/>
      <c r="AJ13" s="72"/>
      <c r="AK13" s="82" t="str">
        <f t="shared" ca="1" si="5"/>
        <v>VENCIDO</v>
      </c>
      <c r="AL13" s="72"/>
      <c r="AM13" s="72"/>
      <c r="AN13" s="72"/>
      <c r="AO13" s="74"/>
      <c r="AP13" s="82" t="str">
        <f t="shared" ca="1" si="6"/>
        <v>VENCIDO</v>
      </c>
    </row>
    <row r="14" spans="1:42" x14ac:dyDescent="0.3">
      <c r="A14" s="70">
        <v>138</v>
      </c>
      <c r="B14" s="71" t="s">
        <v>154</v>
      </c>
      <c r="C14" s="72" t="s">
        <v>292</v>
      </c>
      <c r="D14" s="72" t="s">
        <v>262</v>
      </c>
      <c r="E14" s="72"/>
      <c r="F14" s="73">
        <v>45704</v>
      </c>
      <c r="G14" s="1" t="str">
        <f t="shared" ca="1" si="0"/>
        <v>VENCIDO</v>
      </c>
      <c r="H14" s="299"/>
      <c r="I14" s="72" t="s">
        <v>292</v>
      </c>
      <c r="J14" s="72" t="s">
        <v>262</v>
      </c>
      <c r="K14" s="72"/>
      <c r="L14" s="74">
        <v>45704</v>
      </c>
      <c r="M14" s="1" t="str">
        <f t="shared" ca="1" si="1"/>
        <v>VENCIDO</v>
      </c>
      <c r="N14" s="84"/>
      <c r="O14" s="106"/>
      <c r="P14" s="106"/>
      <c r="Q14" s="106"/>
      <c r="R14" s="72"/>
      <c r="S14" s="82" t="str">
        <f t="shared" ca="1" si="2"/>
        <v>VENCIDO</v>
      </c>
      <c r="T14" s="84"/>
      <c r="U14" s="106"/>
      <c r="V14" s="106" t="s">
        <v>262</v>
      </c>
      <c r="W14" s="106"/>
      <c r="X14" s="72"/>
      <c r="Y14" s="82" t="str">
        <f t="shared" ca="1" si="3"/>
        <v>VENCIDO</v>
      </c>
      <c r="Z14" s="84"/>
      <c r="AA14" s="72"/>
      <c r="AB14" s="72"/>
      <c r="AC14" s="72"/>
      <c r="AD14" s="72"/>
      <c r="AE14" s="82" t="str">
        <f t="shared" ca="1" si="4"/>
        <v>VENCIDO</v>
      </c>
      <c r="AF14" s="84"/>
      <c r="AG14" s="72"/>
      <c r="AH14" s="72" t="s">
        <v>262</v>
      </c>
      <c r="AI14" s="72"/>
      <c r="AJ14" s="72"/>
      <c r="AK14" s="82" t="str">
        <f t="shared" ca="1" si="5"/>
        <v>VENCIDO</v>
      </c>
      <c r="AL14" s="72"/>
      <c r="AM14" s="72"/>
      <c r="AN14" s="72"/>
      <c r="AO14" s="74"/>
      <c r="AP14" s="82" t="str">
        <f t="shared" ca="1" si="6"/>
        <v>VENCIDO</v>
      </c>
    </row>
    <row r="15" spans="1:42" x14ac:dyDescent="0.3">
      <c r="A15" s="70">
        <v>139</v>
      </c>
      <c r="B15" s="71" t="s">
        <v>155</v>
      </c>
      <c r="C15" s="72"/>
      <c r="D15" s="72"/>
      <c r="E15" s="72"/>
      <c r="F15" s="73"/>
      <c r="G15" s="1" t="str">
        <f t="shared" ca="1" si="0"/>
        <v>VENCIDO</v>
      </c>
      <c r="H15" s="299"/>
      <c r="I15" s="72"/>
      <c r="J15" s="72"/>
      <c r="K15" s="72"/>
      <c r="L15" s="72"/>
      <c r="M15" s="1" t="str">
        <f t="shared" ca="1" si="1"/>
        <v>VENCIDO</v>
      </c>
      <c r="N15" s="84"/>
      <c r="O15" s="106"/>
      <c r="P15" s="106"/>
      <c r="Q15" s="106"/>
      <c r="R15" s="72"/>
      <c r="S15" s="82" t="str">
        <f t="shared" ca="1" si="2"/>
        <v>VENCIDO</v>
      </c>
      <c r="T15" s="84"/>
      <c r="U15" s="106"/>
      <c r="V15" s="106"/>
      <c r="W15" s="106"/>
      <c r="X15" s="72"/>
      <c r="Y15" s="82" t="str">
        <f t="shared" ca="1" si="3"/>
        <v>VENCIDO</v>
      </c>
      <c r="Z15" s="84"/>
      <c r="AA15" s="72"/>
      <c r="AB15" s="72"/>
      <c r="AC15" s="72"/>
      <c r="AD15" s="72"/>
      <c r="AE15" s="82" t="str">
        <f t="shared" ca="1" si="4"/>
        <v>VENCIDO</v>
      </c>
      <c r="AF15" s="84"/>
      <c r="AG15" s="72"/>
      <c r="AH15" s="72"/>
      <c r="AI15" s="72"/>
      <c r="AJ15" s="72"/>
      <c r="AK15" s="82" t="str">
        <f t="shared" ca="1" si="5"/>
        <v>VENCIDO</v>
      </c>
      <c r="AL15" s="72"/>
      <c r="AM15" s="72"/>
      <c r="AN15" s="72"/>
      <c r="AO15" s="74"/>
      <c r="AP15" s="82" t="str">
        <f t="shared" ca="1" si="6"/>
        <v>VENCIDO</v>
      </c>
    </row>
    <row r="16" spans="1:42" x14ac:dyDescent="0.3">
      <c r="A16" s="70">
        <v>142</v>
      </c>
      <c r="B16" s="71" t="s">
        <v>156</v>
      </c>
      <c r="C16" s="72"/>
      <c r="D16" s="72"/>
      <c r="E16" s="72"/>
      <c r="F16" s="73"/>
      <c r="G16" s="1" t="str">
        <f t="shared" ca="1" si="0"/>
        <v>VENCIDO</v>
      </c>
      <c r="H16" s="299"/>
      <c r="I16" s="72"/>
      <c r="J16" s="72"/>
      <c r="K16" s="72"/>
      <c r="L16" s="72"/>
      <c r="M16" s="1" t="str">
        <f t="shared" ca="1" si="1"/>
        <v>VENCIDO</v>
      </c>
      <c r="N16" s="84"/>
      <c r="O16" s="106"/>
      <c r="P16" s="106"/>
      <c r="Q16" s="106"/>
      <c r="R16" s="72"/>
      <c r="S16" s="82" t="str">
        <f t="shared" ca="1" si="2"/>
        <v>VENCIDO</v>
      </c>
      <c r="T16" s="84"/>
      <c r="U16" s="106"/>
      <c r="V16" s="106"/>
      <c r="W16" s="106"/>
      <c r="X16" s="72"/>
      <c r="Y16" s="82" t="str">
        <f t="shared" ca="1" si="3"/>
        <v>VENCIDO</v>
      </c>
      <c r="Z16" s="84"/>
      <c r="AA16" s="72"/>
      <c r="AB16" s="72"/>
      <c r="AC16" s="72"/>
      <c r="AD16" s="72"/>
      <c r="AE16" s="82" t="str">
        <f t="shared" ca="1" si="4"/>
        <v>VENCIDO</v>
      </c>
      <c r="AF16" s="84"/>
      <c r="AG16" s="72"/>
      <c r="AH16" s="72"/>
      <c r="AI16" s="72"/>
      <c r="AJ16" s="72"/>
      <c r="AK16" s="82" t="str">
        <f t="shared" ca="1" si="5"/>
        <v>VENCIDO</v>
      </c>
      <c r="AL16" s="72"/>
      <c r="AM16" s="72"/>
      <c r="AN16" s="72"/>
      <c r="AO16" s="74"/>
      <c r="AP16" s="82" t="str">
        <f t="shared" ca="1" si="6"/>
        <v>VENCIDO</v>
      </c>
    </row>
    <row r="17" spans="1:42" x14ac:dyDescent="0.3">
      <c r="A17" s="36">
        <v>144</v>
      </c>
      <c r="B17" s="3" t="s">
        <v>384</v>
      </c>
      <c r="C17" s="72"/>
      <c r="D17" s="72"/>
      <c r="E17" s="72"/>
      <c r="F17" s="297"/>
      <c r="G17" s="85"/>
      <c r="H17" s="299"/>
      <c r="I17" s="72"/>
      <c r="J17" s="72"/>
      <c r="K17" s="72"/>
      <c r="L17" s="72"/>
      <c r="M17" s="85"/>
      <c r="N17" s="84"/>
      <c r="O17" s="72"/>
      <c r="P17" s="72"/>
      <c r="Q17" s="72"/>
      <c r="R17" s="72"/>
      <c r="S17" s="298"/>
      <c r="T17" s="84"/>
      <c r="U17" s="72"/>
      <c r="V17" s="72"/>
      <c r="W17" s="72"/>
      <c r="X17" s="72"/>
      <c r="Y17" s="298"/>
      <c r="Z17" s="84"/>
      <c r="AA17" s="72"/>
      <c r="AB17" s="72"/>
      <c r="AC17" s="72"/>
      <c r="AD17" s="72"/>
      <c r="AE17" s="298"/>
      <c r="AF17" s="84"/>
      <c r="AG17" s="72"/>
      <c r="AH17" s="72"/>
      <c r="AI17" s="72"/>
      <c r="AJ17" s="72"/>
      <c r="AK17" s="298"/>
      <c r="AL17" s="72"/>
      <c r="AM17" s="72"/>
      <c r="AN17" s="72"/>
      <c r="AO17" s="72"/>
      <c r="AP17" s="85"/>
    </row>
    <row r="18" spans="1:42" x14ac:dyDescent="0.3">
      <c r="A18" s="70">
        <v>147</v>
      </c>
      <c r="B18" s="71" t="s">
        <v>159</v>
      </c>
      <c r="C18" s="103" t="s">
        <v>297</v>
      </c>
      <c r="D18" s="103" t="s">
        <v>262</v>
      </c>
      <c r="E18" s="103" t="s">
        <v>298</v>
      </c>
      <c r="F18" s="73"/>
      <c r="G18" s="1" t="str">
        <f ca="1">IF(F18&lt;TODAY(),"VENCIDO",IF(F18=TODAY(),"VENCE HOY",IF(F18&gt;TODAY(),"")))</f>
        <v>VENCIDO</v>
      </c>
      <c r="H18" s="299"/>
      <c r="I18" s="103" t="s">
        <v>297</v>
      </c>
      <c r="J18" s="103" t="s">
        <v>299</v>
      </c>
      <c r="K18" s="103" t="s">
        <v>300</v>
      </c>
      <c r="L18" s="72"/>
      <c r="M18" s="1" t="str">
        <f ca="1">IF(L18&lt;TODAY(),"VENCIDO",IF(L18=TODAY(),"VENCE HOY",IF(L18&gt;TODAY(),"")))</f>
        <v>VENCIDO</v>
      </c>
      <c r="N18" s="84"/>
      <c r="O18" s="106"/>
      <c r="P18" s="106"/>
      <c r="Q18" s="106"/>
      <c r="R18" s="72"/>
      <c r="S18" s="82" t="str">
        <f ca="1">IF(R18&lt;TODAY(),"VENCIDO",IF(R18=TODAY(),"VENCE HOY",IF(R18&gt;TODAY(),"")))</f>
        <v>VENCIDO</v>
      </c>
      <c r="T18" s="84"/>
      <c r="U18" s="106"/>
      <c r="V18" s="106"/>
      <c r="W18" s="106"/>
      <c r="X18" s="72"/>
      <c r="Y18" s="82" t="str">
        <f ca="1">IF(X18&lt;TODAY(),"VENCIDO",IF(X18=TODAY(),"VENCE HOY",IF(X18&gt;TODAY(),"")))</f>
        <v>VENCIDO</v>
      </c>
      <c r="Z18" s="84"/>
      <c r="AA18" s="72"/>
      <c r="AB18" s="72"/>
      <c r="AC18" s="72"/>
      <c r="AD18" s="72"/>
      <c r="AE18" s="82" t="str">
        <f ca="1">IF(AD18&lt;TODAY(),"VENCIDO",IF(AD18=TODAY(),"VENCE HOY",IF(AD18&gt;TODAY(),"")))</f>
        <v>VENCIDO</v>
      </c>
      <c r="AF18" s="84"/>
      <c r="AG18" s="72"/>
      <c r="AH18" s="72"/>
      <c r="AI18" s="72"/>
      <c r="AJ18" s="72"/>
      <c r="AK18" s="82" t="str">
        <f ca="1">IF(AJ18&lt;TODAY(),"VENCIDO",IF(AJ18=TODAY(),"VENCE HOY",IF(AJ18&gt;TODAY(),"")))</f>
        <v>VENCIDO</v>
      </c>
      <c r="AL18" s="72"/>
      <c r="AM18" s="72"/>
      <c r="AN18" s="72"/>
      <c r="AO18" s="74"/>
      <c r="AP18" s="82" t="str">
        <f ca="1">IF(AO18&lt;TODAY(),"VENCIDO",IF(AO18=TODAY(),"VENCE HOY",IF(AO18&gt;TODAY(),"")))</f>
        <v>VENCIDO</v>
      </c>
    </row>
    <row r="19" spans="1:42" x14ac:dyDescent="0.3">
      <c r="A19" s="70">
        <v>148</v>
      </c>
      <c r="B19" s="71" t="s">
        <v>160</v>
      </c>
      <c r="C19" s="168" t="s">
        <v>386</v>
      </c>
      <c r="D19" s="157" t="s">
        <v>262</v>
      </c>
      <c r="E19" s="72" t="s">
        <v>385</v>
      </c>
      <c r="F19" s="73">
        <v>45791</v>
      </c>
      <c r="G19" s="1" t="str">
        <f ca="1">IF(F19&lt;TODAY(),"VENCIDO",IF(F19=TODAY(),"VENCE HOY",IF(F19&gt;TODAY(),"")))</f>
        <v>VENCIDO</v>
      </c>
      <c r="H19" s="299"/>
      <c r="I19" s="302">
        <v>2024</v>
      </c>
      <c r="J19" s="157" t="s">
        <v>262</v>
      </c>
      <c r="K19" s="72" t="s">
        <v>387</v>
      </c>
      <c r="L19" s="74">
        <v>45791</v>
      </c>
      <c r="M19" s="1" t="str">
        <f ca="1">IF(L19&lt;TODAY(),"VENCIDO",IF(L19=TODAY(),"VENCE HOY",IF(L19&gt;TODAY(),"")))</f>
        <v>VENCIDO</v>
      </c>
      <c r="N19" s="84"/>
      <c r="O19" s="106">
        <v>2024</v>
      </c>
      <c r="P19" s="106" t="s">
        <v>299</v>
      </c>
      <c r="Q19" s="106" t="s">
        <v>388</v>
      </c>
      <c r="R19" s="74">
        <v>45791</v>
      </c>
      <c r="S19" s="82" t="str">
        <f ca="1">IF(R19&lt;TODAY(),"VENCIDO",IF(R19=TODAY(),"VENCE HOY",IF(R19&gt;TODAY(),"")))</f>
        <v>VENCIDO</v>
      </c>
      <c r="T19" s="84"/>
      <c r="U19" s="106">
        <v>2024</v>
      </c>
      <c r="V19" s="106" t="s">
        <v>299</v>
      </c>
      <c r="W19" s="106" t="s">
        <v>389</v>
      </c>
      <c r="X19" s="74">
        <v>45791</v>
      </c>
      <c r="Y19" s="82" t="str">
        <f ca="1">IF(X19&lt;TODAY(),"VENCIDO",IF(X19=TODAY(),"VENCE HOY",IF(X19&gt;TODAY(),"")))</f>
        <v>VENCIDO</v>
      </c>
      <c r="Z19" s="84"/>
      <c r="AA19" s="72">
        <v>2024</v>
      </c>
      <c r="AB19" s="72" t="s">
        <v>299</v>
      </c>
      <c r="AC19" s="72" t="s">
        <v>390</v>
      </c>
      <c r="AD19" s="74">
        <v>45791</v>
      </c>
      <c r="AE19" s="82" t="str">
        <f ca="1">IF(AD19&lt;TODAY(),"VENCIDO",IF(AD19=TODAY(),"VENCE HOY",IF(AD19&gt;TODAY(),"")))</f>
        <v>VENCIDO</v>
      </c>
      <c r="AF19" s="84"/>
      <c r="AG19" s="72">
        <v>2024</v>
      </c>
      <c r="AH19" s="72" t="s">
        <v>299</v>
      </c>
      <c r="AI19" s="72" t="s">
        <v>391</v>
      </c>
      <c r="AJ19" s="74">
        <v>45791</v>
      </c>
      <c r="AK19" s="82" t="str">
        <f ca="1">IF(AJ19&lt;TODAY(),"VENCIDO",IF(AJ19=TODAY(),"VENCE HOY",IF(AJ19&gt;TODAY(),"")))</f>
        <v>VENCIDO</v>
      </c>
      <c r="AL19" s="72"/>
      <c r="AM19" s="72"/>
      <c r="AN19" s="72"/>
      <c r="AO19" s="74"/>
      <c r="AP19" s="82" t="str">
        <f ca="1">IF(AO19&lt;TODAY(),"VENCIDO",IF(AO19=TODAY(),"VENCE HOY",IF(AO19&gt;TODAY(),"")))</f>
        <v>VENCIDO</v>
      </c>
    </row>
    <row r="20" spans="1:42" x14ac:dyDescent="0.3">
      <c r="A20" s="39">
        <v>149</v>
      </c>
      <c r="B20" s="3" t="s">
        <v>395</v>
      </c>
      <c r="C20" s="72"/>
      <c r="D20" s="72"/>
      <c r="E20" s="72"/>
      <c r="F20" s="297"/>
      <c r="G20" s="85"/>
      <c r="H20" s="299"/>
      <c r="I20" s="72"/>
      <c r="J20" s="72"/>
      <c r="K20" s="72"/>
      <c r="L20" s="72"/>
      <c r="M20" s="85"/>
      <c r="N20" s="84"/>
      <c r="O20" s="72"/>
      <c r="P20" s="72"/>
      <c r="Q20" s="72"/>
      <c r="R20" s="72"/>
      <c r="S20" s="298"/>
      <c r="T20" s="84"/>
      <c r="U20" s="72"/>
      <c r="V20" s="72"/>
      <c r="W20" s="72"/>
      <c r="X20" s="72"/>
      <c r="Y20" s="298"/>
      <c r="Z20" s="84"/>
      <c r="AA20" s="72"/>
      <c r="AB20" s="72"/>
      <c r="AC20" s="72"/>
      <c r="AD20" s="72"/>
      <c r="AE20" s="298"/>
      <c r="AF20" s="84"/>
      <c r="AG20" s="72"/>
      <c r="AH20" s="72"/>
      <c r="AI20" s="72"/>
      <c r="AJ20" s="72"/>
      <c r="AK20" s="298"/>
      <c r="AL20" s="72"/>
      <c r="AM20" s="72"/>
      <c r="AN20" s="72"/>
      <c r="AO20" s="72"/>
      <c r="AP20" s="85"/>
    </row>
    <row r="21" spans="1:42" x14ac:dyDescent="0.3">
      <c r="A21" s="39">
        <v>150</v>
      </c>
      <c r="B21" s="3" t="s">
        <v>396</v>
      </c>
      <c r="C21" s="72"/>
      <c r="D21" s="72"/>
      <c r="E21" s="72"/>
      <c r="F21" s="297"/>
      <c r="G21" s="85"/>
      <c r="H21" s="299"/>
      <c r="I21" s="72"/>
      <c r="J21" s="72"/>
      <c r="K21" s="72"/>
      <c r="L21" s="72"/>
      <c r="M21" s="85"/>
      <c r="N21" s="84"/>
      <c r="O21" s="72"/>
      <c r="P21" s="72"/>
      <c r="Q21" s="72"/>
      <c r="R21" s="72"/>
      <c r="S21" s="298"/>
      <c r="T21" s="84"/>
      <c r="U21" s="72"/>
      <c r="V21" s="72"/>
      <c r="W21" s="72"/>
      <c r="X21" s="72"/>
      <c r="Y21" s="298"/>
      <c r="Z21" s="84"/>
      <c r="AA21" s="72"/>
      <c r="AB21" s="72"/>
      <c r="AC21" s="72"/>
      <c r="AD21" s="72"/>
      <c r="AE21" s="298"/>
      <c r="AF21" s="84"/>
      <c r="AG21" s="72"/>
      <c r="AH21" s="72"/>
      <c r="AI21" s="72"/>
      <c r="AJ21" s="72"/>
      <c r="AK21" s="298"/>
      <c r="AL21" s="72"/>
      <c r="AM21" s="72"/>
      <c r="AN21" s="72"/>
      <c r="AO21" s="72"/>
      <c r="AP21" s="85"/>
    </row>
    <row r="22" spans="1:42" x14ac:dyDescent="0.3">
      <c r="A22" s="70">
        <v>156</v>
      </c>
      <c r="B22" s="71" t="s">
        <v>163</v>
      </c>
      <c r="C22" s="157">
        <v>2018</v>
      </c>
      <c r="D22" s="157" t="s">
        <v>262</v>
      </c>
      <c r="E22" s="72"/>
      <c r="F22" s="73"/>
      <c r="G22" s="1" t="str">
        <f t="shared" ref="G22:G34" ca="1" si="7">IF(F22&lt;TODAY(),"VENCIDO",IF(F22=TODAY(),"VENCE HOY",IF(F22&gt;TODAY(),"")))</f>
        <v>VENCIDO</v>
      </c>
      <c r="H22" s="299"/>
      <c r="I22" s="157">
        <v>2018</v>
      </c>
      <c r="J22" s="157" t="s">
        <v>299</v>
      </c>
      <c r="K22" s="72"/>
      <c r="L22" s="72"/>
      <c r="M22" s="1" t="str">
        <f t="shared" ref="M22:M34" ca="1" si="8">IF(L22&lt;TODAY(),"VENCIDO",IF(L22=TODAY(),"VENCE HOY",IF(L22&gt;TODAY(),"")))</f>
        <v>VENCIDO</v>
      </c>
      <c r="N22" s="84"/>
      <c r="O22" s="106">
        <v>2018</v>
      </c>
      <c r="P22" s="106" t="s">
        <v>299</v>
      </c>
      <c r="Q22" s="106"/>
      <c r="R22" s="72"/>
      <c r="S22" s="82" t="str">
        <f t="shared" ref="S22:S34" ca="1" si="9">IF(R22&lt;TODAY(),"VENCIDO",IF(R22=TODAY(),"VENCE HOY",IF(R22&gt;TODAY(),"")))</f>
        <v>VENCIDO</v>
      </c>
      <c r="T22" s="84"/>
      <c r="U22" s="106">
        <v>2018</v>
      </c>
      <c r="V22" s="106" t="s">
        <v>299</v>
      </c>
      <c r="W22" s="106"/>
      <c r="X22" s="72"/>
      <c r="Y22" s="82" t="str">
        <f t="shared" ref="Y22:Y34" ca="1" si="10">IF(X22&lt;TODAY(),"VENCIDO",IF(X22=TODAY(),"VENCE HOY",IF(X22&gt;TODAY(),"")))</f>
        <v>VENCIDO</v>
      </c>
      <c r="Z22" s="84"/>
      <c r="AA22" s="106">
        <v>2018</v>
      </c>
      <c r="AB22" s="106" t="s">
        <v>299</v>
      </c>
      <c r="AC22" s="157"/>
      <c r="AD22" s="72"/>
      <c r="AE22" s="82" t="str">
        <f t="shared" ref="AE22:AE34" ca="1" si="11">IF(AD22&lt;TODAY(),"VENCIDO",IF(AD22=TODAY(),"VENCE HOY",IF(AD22&gt;TODAY(),"")))</f>
        <v>VENCIDO</v>
      </c>
      <c r="AF22" s="84"/>
      <c r="AG22" s="106">
        <v>2018</v>
      </c>
      <c r="AH22" s="106" t="s">
        <v>299</v>
      </c>
      <c r="AI22" s="72"/>
      <c r="AJ22" s="72"/>
      <c r="AK22" s="82" t="str">
        <f t="shared" ref="AK22:AK34" ca="1" si="12">IF(AJ22&lt;TODAY(),"VENCIDO",IF(AJ22=TODAY(),"VENCE HOY",IF(AJ22&gt;TODAY(),"")))</f>
        <v>VENCIDO</v>
      </c>
      <c r="AL22" s="72"/>
      <c r="AM22" s="72"/>
      <c r="AN22" s="72"/>
      <c r="AO22" s="74"/>
      <c r="AP22" s="82" t="str">
        <f t="shared" ref="AP22:AP34" ca="1" si="13">IF(AO22&lt;TODAY(),"VENCIDO",IF(AO22=TODAY(),"VENCE HOY",IF(AO22&gt;TODAY(),"")))</f>
        <v>VENCIDO</v>
      </c>
    </row>
    <row r="23" spans="1:42" x14ac:dyDescent="0.3">
      <c r="A23" s="70">
        <v>159</v>
      </c>
      <c r="B23" s="71" t="s">
        <v>165</v>
      </c>
      <c r="C23" s="157">
        <v>2018</v>
      </c>
      <c r="D23" s="157" t="s">
        <v>262</v>
      </c>
      <c r="E23" s="72"/>
      <c r="F23" s="73"/>
      <c r="G23" s="1" t="str">
        <f t="shared" ca="1" si="7"/>
        <v>VENCIDO</v>
      </c>
      <c r="H23" s="299"/>
      <c r="I23" s="157">
        <v>2018</v>
      </c>
      <c r="J23" s="157" t="s">
        <v>299</v>
      </c>
      <c r="K23" s="72"/>
      <c r="L23" s="72"/>
      <c r="M23" s="1" t="str">
        <f t="shared" ca="1" si="8"/>
        <v>VENCIDO</v>
      </c>
      <c r="N23" s="84"/>
      <c r="O23" s="106">
        <v>2018</v>
      </c>
      <c r="P23" s="106" t="s">
        <v>299</v>
      </c>
      <c r="Q23" s="106"/>
      <c r="R23" s="72"/>
      <c r="S23" s="82" t="str">
        <f t="shared" ca="1" si="9"/>
        <v>VENCIDO</v>
      </c>
      <c r="T23" s="84"/>
      <c r="U23" s="106">
        <v>2018</v>
      </c>
      <c r="V23" s="106" t="s">
        <v>299</v>
      </c>
      <c r="W23" s="106"/>
      <c r="X23" s="72"/>
      <c r="Y23" s="82" t="str">
        <f t="shared" ca="1" si="10"/>
        <v>VENCIDO</v>
      </c>
      <c r="Z23" s="84"/>
      <c r="AA23" s="106">
        <v>2018</v>
      </c>
      <c r="AB23" s="106" t="s">
        <v>299</v>
      </c>
      <c r="AC23" s="157"/>
      <c r="AD23" s="72"/>
      <c r="AE23" s="82" t="str">
        <f t="shared" ca="1" si="11"/>
        <v>VENCIDO</v>
      </c>
      <c r="AF23" s="84"/>
      <c r="AG23" s="106">
        <v>2018</v>
      </c>
      <c r="AH23" s="106" t="s">
        <v>299</v>
      </c>
      <c r="AI23" s="72"/>
      <c r="AJ23" s="72"/>
      <c r="AK23" s="82" t="str">
        <f t="shared" ca="1" si="12"/>
        <v>VENCIDO</v>
      </c>
      <c r="AL23" s="72"/>
      <c r="AM23" s="72"/>
      <c r="AN23" s="72"/>
      <c r="AO23" s="74"/>
      <c r="AP23" s="82" t="str">
        <f t="shared" ca="1" si="13"/>
        <v>VENCIDO</v>
      </c>
    </row>
    <row r="24" spans="1:42" x14ac:dyDescent="0.3">
      <c r="A24" s="70">
        <v>160</v>
      </c>
      <c r="B24" s="71" t="s">
        <v>166</v>
      </c>
      <c r="C24" s="158">
        <v>45597</v>
      </c>
      <c r="D24" s="157" t="s">
        <v>262</v>
      </c>
      <c r="E24" s="72"/>
      <c r="F24" s="73">
        <v>45636</v>
      </c>
      <c r="G24" s="1" t="str">
        <f t="shared" ca="1" si="7"/>
        <v>VENCIDO</v>
      </c>
      <c r="H24" s="299"/>
      <c r="I24" s="158">
        <v>45597</v>
      </c>
      <c r="J24" s="157" t="s">
        <v>299</v>
      </c>
      <c r="K24" s="72"/>
      <c r="L24" s="74">
        <v>45636</v>
      </c>
      <c r="M24" s="1" t="str">
        <f t="shared" ca="1" si="8"/>
        <v>VENCIDO</v>
      </c>
      <c r="N24" s="84"/>
      <c r="O24" s="106">
        <v>2022</v>
      </c>
      <c r="P24" s="106"/>
      <c r="Q24" s="106"/>
      <c r="R24" s="72"/>
      <c r="S24" s="82" t="str">
        <f t="shared" ca="1" si="9"/>
        <v>VENCIDO</v>
      </c>
      <c r="T24" s="84"/>
      <c r="U24" s="106"/>
      <c r="V24" s="106"/>
      <c r="W24" s="106"/>
      <c r="X24" s="72"/>
      <c r="Y24" s="82" t="str">
        <f t="shared" ca="1" si="10"/>
        <v>VENCIDO</v>
      </c>
      <c r="Z24" s="84"/>
      <c r="AA24" s="72"/>
      <c r="AB24" s="72"/>
      <c r="AC24" s="72"/>
      <c r="AD24" s="72"/>
      <c r="AE24" s="82" t="str">
        <f t="shared" ca="1" si="11"/>
        <v>VENCIDO</v>
      </c>
      <c r="AF24" s="84"/>
      <c r="AG24" s="72"/>
      <c r="AH24" s="72"/>
      <c r="AI24" s="72"/>
      <c r="AJ24" s="72"/>
      <c r="AK24" s="82" t="str">
        <f t="shared" ca="1" si="12"/>
        <v>VENCIDO</v>
      </c>
      <c r="AL24" s="72"/>
      <c r="AM24" s="72"/>
      <c r="AN24" s="72"/>
      <c r="AO24" s="74"/>
      <c r="AP24" s="82" t="str">
        <f t="shared" ca="1" si="13"/>
        <v>VENCIDO</v>
      </c>
    </row>
    <row r="25" spans="1:42" x14ac:dyDescent="0.3">
      <c r="A25" s="70">
        <v>161</v>
      </c>
      <c r="B25" s="71" t="s">
        <v>167</v>
      </c>
      <c r="C25" s="110">
        <v>45597</v>
      </c>
      <c r="D25" s="95" t="s">
        <v>262</v>
      </c>
      <c r="E25" s="95" t="s">
        <v>270</v>
      </c>
      <c r="F25" s="99">
        <v>45636</v>
      </c>
      <c r="G25" s="1" t="str">
        <f t="shared" ca="1" si="7"/>
        <v>VENCIDO</v>
      </c>
      <c r="H25" s="299"/>
      <c r="I25" s="95">
        <v>2024</v>
      </c>
      <c r="J25" s="95" t="s">
        <v>262</v>
      </c>
      <c r="K25" s="95" t="s">
        <v>271</v>
      </c>
      <c r="L25" s="98">
        <v>45636</v>
      </c>
      <c r="M25" s="1" t="str">
        <f t="shared" ca="1" si="8"/>
        <v>VENCIDO</v>
      </c>
      <c r="N25" s="84"/>
      <c r="O25" s="95">
        <v>2018</v>
      </c>
      <c r="P25" s="95" t="s">
        <v>272</v>
      </c>
      <c r="Q25" s="100">
        <v>8082710273</v>
      </c>
      <c r="R25" s="98">
        <v>45636</v>
      </c>
      <c r="S25" s="82" t="str">
        <f t="shared" ca="1" si="9"/>
        <v>VENCIDO</v>
      </c>
      <c r="T25" s="84"/>
      <c r="U25" s="95">
        <v>2018</v>
      </c>
      <c r="V25" s="95" t="s">
        <v>267</v>
      </c>
      <c r="W25" s="103">
        <v>8082021245</v>
      </c>
      <c r="X25" s="74">
        <v>45636</v>
      </c>
      <c r="Y25" s="82" t="str">
        <f t="shared" ca="1" si="10"/>
        <v>VENCIDO</v>
      </c>
      <c r="Z25" s="84"/>
      <c r="AA25" s="95">
        <v>2019</v>
      </c>
      <c r="AB25" s="95" t="s">
        <v>267</v>
      </c>
      <c r="AC25" s="95" t="s">
        <v>273</v>
      </c>
      <c r="AD25" s="98">
        <v>45636</v>
      </c>
      <c r="AE25" s="82" t="str">
        <f t="shared" ca="1" si="11"/>
        <v>VENCIDO</v>
      </c>
      <c r="AF25" s="84"/>
      <c r="AG25" s="95">
        <v>2022</v>
      </c>
      <c r="AH25" s="95" t="s">
        <v>267</v>
      </c>
      <c r="AI25" s="95" t="s">
        <v>273</v>
      </c>
      <c r="AJ25" s="98">
        <v>45606</v>
      </c>
      <c r="AK25" s="82" t="str">
        <f t="shared" ca="1" si="12"/>
        <v>VENCIDO</v>
      </c>
      <c r="AL25" s="72"/>
      <c r="AM25" s="72"/>
      <c r="AN25" s="72"/>
      <c r="AO25" s="74"/>
      <c r="AP25" s="82" t="str">
        <f t="shared" ca="1" si="13"/>
        <v>VENCIDO</v>
      </c>
    </row>
    <row r="26" spans="1:42" x14ac:dyDescent="0.3">
      <c r="A26" s="70">
        <v>162</v>
      </c>
      <c r="B26" s="71" t="s">
        <v>168</v>
      </c>
      <c r="C26" s="72"/>
      <c r="D26" s="72"/>
      <c r="E26" s="72"/>
      <c r="F26" s="73"/>
      <c r="G26" s="1" t="str">
        <f t="shared" ca="1" si="7"/>
        <v>VENCIDO</v>
      </c>
      <c r="H26" s="299"/>
      <c r="I26" s="72"/>
      <c r="J26" s="72"/>
      <c r="K26" s="72"/>
      <c r="L26" s="72"/>
      <c r="M26" s="1" t="str">
        <f t="shared" ca="1" si="8"/>
        <v>VENCIDO</v>
      </c>
      <c r="N26" s="84"/>
      <c r="O26" s="72"/>
      <c r="P26" s="72"/>
      <c r="Q26" s="72"/>
      <c r="R26" s="72"/>
      <c r="S26" s="82" t="str">
        <f t="shared" ca="1" si="9"/>
        <v>VENCIDO</v>
      </c>
      <c r="T26" s="84"/>
      <c r="U26" s="72"/>
      <c r="V26" s="72"/>
      <c r="W26" s="72"/>
      <c r="X26" s="72"/>
      <c r="Y26" s="82" t="str">
        <f t="shared" ca="1" si="10"/>
        <v>VENCIDO</v>
      </c>
      <c r="Z26" s="84"/>
      <c r="AA26" s="72"/>
      <c r="AB26" s="72"/>
      <c r="AC26" s="72"/>
      <c r="AD26" s="72"/>
      <c r="AE26" s="82" t="str">
        <f t="shared" ca="1" si="11"/>
        <v>VENCIDO</v>
      </c>
      <c r="AF26" s="84"/>
      <c r="AG26" s="72"/>
      <c r="AH26" s="101"/>
      <c r="AI26" s="72"/>
      <c r="AJ26" s="72"/>
      <c r="AK26" s="82" t="str">
        <f t="shared" ca="1" si="12"/>
        <v>VENCIDO</v>
      </c>
      <c r="AL26" s="72"/>
      <c r="AM26" s="72"/>
      <c r="AN26" s="72"/>
      <c r="AO26" s="74"/>
      <c r="AP26" s="82" t="str">
        <f t="shared" ca="1" si="13"/>
        <v>VENCIDO</v>
      </c>
    </row>
    <row r="27" spans="1:42" x14ac:dyDescent="0.3">
      <c r="A27" s="70">
        <v>163</v>
      </c>
      <c r="B27" s="71" t="s">
        <v>169</v>
      </c>
      <c r="C27" s="72"/>
      <c r="D27" s="72"/>
      <c r="E27" s="72"/>
      <c r="F27" s="73"/>
      <c r="G27" s="1" t="str">
        <f t="shared" ca="1" si="7"/>
        <v>VENCIDO</v>
      </c>
      <c r="H27" s="299"/>
      <c r="I27" s="72"/>
      <c r="J27" s="72"/>
      <c r="K27" s="72"/>
      <c r="L27" s="72"/>
      <c r="M27" s="1" t="str">
        <f t="shared" ca="1" si="8"/>
        <v>VENCIDO</v>
      </c>
      <c r="N27" s="84"/>
      <c r="O27" s="72"/>
      <c r="P27" s="72"/>
      <c r="Q27" s="72"/>
      <c r="R27" s="72"/>
      <c r="S27" s="82" t="str">
        <f t="shared" ca="1" si="9"/>
        <v>VENCIDO</v>
      </c>
      <c r="T27" s="84"/>
      <c r="U27" s="72"/>
      <c r="V27" s="72"/>
      <c r="W27" s="72"/>
      <c r="X27" s="72"/>
      <c r="Y27" s="82" t="str">
        <f t="shared" ca="1" si="10"/>
        <v>VENCIDO</v>
      </c>
      <c r="Z27" s="84"/>
      <c r="AA27" s="72"/>
      <c r="AB27" s="72"/>
      <c r="AC27" s="72"/>
      <c r="AD27" s="72"/>
      <c r="AE27" s="82" t="str">
        <f t="shared" ca="1" si="11"/>
        <v>VENCIDO</v>
      </c>
      <c r="AF27" s="84"/>
      <c r="AG27" s="72"/>
      <c r="AH27" s="72"/>
      <c r="AI27" s="72"/>
      <c r="AJ27" s="72"/>
      <c r="AK27" s="82" t="str">
        <f t="shared" ca="1" si="12"/>
        <v>VENCIDO</v>
      </c>
      <c r="AL27" s="72"/>
      <c r="AM27" s="72"/>
      <c r="AN27" s="72"/>
      <c r="AO27" s="74"/>
      <c r="AP27" s="82" t="str">
        <f t="shared" ca="1" si="13"/>
        <v>VENCIDO</v>
      </c>
    </row>
    <row r="28" spans="1:42" x14ac:dyDescent="0.3">
      <c r="A28" s="70">
        <v>164</v>
      </c>
      <c r="B28" s="71" t="s">
        <v>170</v>
      </c>
      <c r="C28" s="72"/>
      <c r="D28" s="72"/>
      <c r="E28" s="72"/>
      <c r="F28" s="73"/>
      <c r="G28" s="1" t="str">
        <f t="shared" ca="1" si="7"/>
        <v>VENCIDO</v>
      </c>
      <c r="H28" s="299"/>
      <c r="I28" s="72"/>
      <c r="J28" s="72"/>
      <c r="K28" s="72"/>
      <c r="L28" s="72"/>
      <c r="M28" s="1" t="str">
        <f t="shared" ca="1" si="8"/>
        <v>VENCIDO</v>
      </c>
      <c r="N28" s="84"/>
      <c r="O28" s="72"/>
      <c r="P28" s="72"/>
      <c r="Q28" s="72"/>
      <c r="R28" s="72"/>
      <c r="S28" s="82" t="str">
        <f t="shared" ca="1" si="9"/>
        <v>VENCIDO</v>
      </c>
      <c r="T28" s="84"/>
      <c r="U28" s="72"/>
      <c r="V28" s="72"/>
      <c r="W28" s="72"/>
      <c r="X28" s="72"/>
      <c r="Y28" s="82" t="str">
        <f t="shared" ca="1" si="10"/>
        <v>VENCIDO</v>
      </c>
      <c r="Z28" s="84"/>
      <c r="AA28" s="72"/>
      <c r="AB28" s="72"/>
      <c r="AC28" s="72"/>
      <c r="AD28" s="72"/>
      <c r="AE28" s="82" t="str">
        <f t="shared" ca="1" si="11"/>
        <v>VENCIDO</v>
      </c>
      <c r="AF28" s="84"/>
      <c r="AG28" s="72"/>
      <c r="AH28" s="72"/>
      <c r="AI28" s="72"/>
      <c r="AJ28" s="72"/>
      <c r="AK28" s="82" t="str">
        <f t="shared" ca="1" si="12"/>
        <v>VENCIDO</v>
      </c>
      <c r="AL28" s="72"/>
      <c r="AM28" s="72"/>
      <c r="AN28" s="72"/>
      <c r="AO28" s="74"/>
      <c r="AP28" s="82" t="str">
        <f t="shared" ca="1" si="13"/>
        <v>VENCIDO</v>
      </c>
    </row>
    <row r="29" spans="1:42" x14ac:dyDescent="0.3">
      <c r="A29" s="70">
        <v>165</v>
      </c>
      <c r="B29" s="71" t="s">
        <v>171</v>
      </c>
      <c r="C29" s="72"/>
      <c r="D29" s="72"/>
      <c r="E29" s="72"/>
      <c r="F29" s="73"/>
      <c r="G29" s="1" t="str">
        <f t="shared" ca="1" si="7"/>
        <v>VENCIDO</v>
      </c>
      <c r="H29" s="299"/>
      <c r="I29" s="72"/>
      <c r="J29" s="72"/>
      <c r="K29" s="72"/>
      <c r="L29" s="72"/>
      <c r="M29" s="1" t="str">
        <f t="shared" ca="1" si="8"/>
        <v>VENCIDO</v>
      </c>
      <c r="N29" s="84"/>
      <c r="O29" s="72"/>
      <c r="P29" s="72"/>
      <c r="Q29" s="72"/>
      <c r="R29" s="72"/>
      <c r="S29" s="82" t="str">
        <f t="shared" ca="1" si="9"/>
        <v>VENCIDO</v>
      </c>
      <c r="T29" s="84"/>
      <c r="U29" s="72"/>
      <c r="V29" s="72"/>
      <c r="W29" s="72"/>
      <c r="X29" s="72"/>
      <c r="Y29" s="82" t="str">
        <f t="shared" ca="1" si="10"/>
        <v>VENCIDO</v>
      </c>
      <c r="Z29" s="84"/>
      <c r="AA29" s="72"/>
      <c r="AB29" s="72"/>
      <c r="AC29" s="72"/>
      <c r="AD29" s="72"/>
      <c r="AE29" s="82" t="str">
        <f t="shared" ca="1" si="11"/>
        <v>VENCIDO</v>
      </c>
      <c r="AF29" s="84"/>
      <c r="AG29" s="72"/>
      <c r="AH29" s="72"/>
      <c r="AI29" s="72"/>
      <c r="AJ29" s="72"/>
      <c r="AK29" s="82" t="str">
        <f t="shared" ca="1" si="12"/>
        <v>VENCIDO</v>
      </c>
      <c r="AL29" s="72"/>
      <c r="AM29" s="72"/>
      <c r="AN29" s="72"/>
      <c r="AO29" s="74"/>
      <c r="AP29" s="82" t="str">
        <f t="shared" ca="1" si="13"/>
        <v>VENCIDO</v>
      </c>
    </row>
    <row r="30" spans="1:42" x14ac:dyDescent="0.3">
      <c r="A30" s="70">
        <v>166</v>
      </c>
      <c r="B30" s="71" t="s">
        <v>172</v>
      </c>
      <c r="C30" s="109">
        <v>45444</v>
      </c>
      <c r="D30" s="104" t="s">
        <v>262</v>
      </c>
      <c r="E30" s="96" t="s">
        <v>263</v>
      </c>
      <c r="F30" s="97">
        <v>45637</v>
      </c>
      <c r="G30" s="1" t="str">
        <f t="shared" ca="1" si="7"/>
        <v>VENCIDO</v>
      </c>
      <c r="H30" s="299"/>
      <c r="I30" s="95">
        <v>2024</v>
      </c>
      <c r="J30" s="95" t="s">
        <v>262</v>
      </c>
      <c r="K30" s="95" t="s">
        <v>264</v>
      </c>
      <c r="L30" s="98">
        <v>45637</v>
      </c>
      <c r="M30" s="1" t="str">
        <f t="shared" ca="1" si="8"/>
        <v>VENCIDO</v>
      </c>
      <c r="N30" s="84"/>
      <c r="O30" s="72"/>
      <c r="P30" s="72"/>
      <c r="Q30" s="72"/>
      <c r="R30" s="72"/>
      <c r="S30" s="82" t="str">
        <f t="shared" ca="1" si="9"/>
        <v>VENCIDO</v>
      </c>
      <c r="T30" s="84"/>
      <c r="U30" s="72"/>
      <c r="V30" s="72"/>
      <c r="W30" s="72"/>
      <c r="X30" s="72"/>
      <c r="Y30" s="82" t="str">
        <f t="shared" ca="1" si="10"/>
        <v>VENCIDO</v>
      </c>
      <c r="Z30" s="84"/>
      <c r="AA30" s="72"/>
      <c r="AB30" s="72"/>
      <c r="AC30" s="72"/>
      <c r="AD30" s="72"/>
      <c r="AE30" s="82" t="str">
        <f t="shared" ca="1" si="11"/>
        <v>VENCIDO</v>
      </c>
      <c r="AF30" s="84"/>
      <c r="AG30" s="72"/>
      <c r="AH30" s="72"/>
      <c r="AI30" s="72"/>
      <c r="AJ30" s="72"/>
      <c r="AK30" s="82" t="str">
        <f t="shared" ca="1" si="12"/>
        <v>VENCIDO</v>
      </c>
      <c r="AL30" s="72"/>
      <c r="AM30" s="72"/>
      <c r="AN30" s="72"/>
      <c r="AO30" s="74"/>
      <c r="AP30" s="82" t="str">
        <f t="shared" ca="1" si="13"/>
        <v>VENCIDO</v>
      </c>
    </row>
    <row r="31" spans="1:42" x14ac:dyDescent="0.3">
      <c r="A31" s="70">
        <v>168</v>
      </c>
      <c r="B31" s="71" t="s">
        <v>173</v>
      </c>
      <c r="C31" s="72"/>
      <c r="D31" s="72"/>
      <c r="E31" s="72"/>
      <c r="F31" s="73"/>
      <c r="G31" s="1" t="str">
        <f t="shared" ca="1" si="7"/>
        <v>VENCIDO</v>
      </c>
      <c r="H31" s="299"/>
      <c r="I31" s="72"/>
      <c r="J31" s="72"/>
      <c r="K31" s="72"/>
      <c r="L31" s="72"/>
      <c r="M31" s="1" t="str">
        <f t="shared" ca="1" si="8"/>
        <v>VENCIDO</v>
      </c>
      <c r="N31" s="84"/>
      <c r="O31" s="72"/>
      <c r="P31" s="72"/>
      <c r="Q31" s="72"/>
      <c r="R31" s="72"/>
      <c r="S31" s="82" t="str">
        <f t="shared" ca="1" si="9"/>
        <v>VENCIDO</v>
      </c>
      <c r="T31" s="84"/>
      <c r="U31" s="72"/>
      <c r="V31" s="72"/>
      <c r="W31" s="72"/>
      <c r="X31" s="72"/>
      <c r="Y31" s="82" t="str">
        <f t="shared" ca="1" si="10"/>
        <v>VENCIDO</v>
      </c>
      <c r="Z31" s="84"/>
      <c r="AA31" s="72"/>
      <c r="AB31" s="72"/>
      <c r="AC31" s="72"/>
      <c r="AD31" s="72"/>
      <c r="AE31" s="82" t="str">
        <f t="shared" ca="1" si="11"/>
        <v>VENCIDO</v>
      </c>
      <c r="AF31" s="84"/>
      <c r="AG31" s="72"/>
      <c r="AH31" s="72"/>
      <c r="AI31" s="72"/>
      <c r="AJ31" s="72"/>
      <c r="AK31" s="82" t="str">
        <f t="shared" ca="1" si="12"/>
        <v>VENCIDO</v>
      </c>
      <c r="AL31" s="72"/>
      <c r="AM31" s="72"/>
      <c r="AN31" s="72"/>
      <c r="AO31" s="74"/>
      <c r="AP31" s="82" t="str">
        <f t="shared" ca="1" si="13"/>
        <v>VENCIDO</v>
      </c>
    </row>
    <row r="32" spans="1:42" x14ac:dyDescent="0.3">
      <c r="A32" s="70">
        <v>169</v>
      </c>
      <c r="B32" s="71" t="s">
        <v>174</v>
      </c>
      <c r="C32" s="103">
        <v>2024</v>
      </c>
      <c r="D32" s="105" t="s">
        <v>262</v>
      </c>
      <c r="E32" s="105" t="s">
        <v>274</v>
      </c>
      <c r="F32" s="73"/>
      <c r="G32" s="1" t="str">
        <f t="shared" ca="1" si="7"/>
        <v>VENCIDO</v>
      </c>
      <c r="H32" s="299"/>
      <c r="I32" s="95">
        <v>2024</v>
      </c>
      <c r="J32" s="102" t="s">
        <v>262</v>
      </c>
      <c r="K32" s="105" t="s">
        <v>275</v>
      </c>
      <c r="L32" s="72"/>
      <c r="M32" s="1" t="str">
        <f t="shared" ca="1" si="8"/>
        <v>VENCIDO</v>
      </c>
      <c r="N32" s="84"/>
      <c r="O32" s="95">
        <v>2024</v>
      </c>
      <c r="P32" s="95" t="s">
        <v>262</v>
      </c>
      <c r="Q32" s="103" t="s">
        <v>276</v>
      </c>
      <c r="R32" s="72"/>
      <c r="S32" s="82" t="str">
        <f t="shared" ca="1" si="9"/>
        <v>VENCIDO</v>
      </c>
      <c r="T32" s="84"/>
      <c r="U32" s="103">
        <v>2024</v>
      </c>
      <c r="V32" s="103" t="s">
        <v>262</v>
      </c>
      <c r="W32" s="103" t="s">
        <v>277</v>
      </c>
      <c r="X32" s="72"/>
      <c r="Y32" s="82" t="str">
        <f t="shared" ca="1" si="10"/>
        <v>VENCIDO</v>
      </c>
      <c r="Z32" s="84"/>
      <c r="AA32" s="103">
        <v>2024</v>
      </c>
      <c r="AB32" s="103" t="s">
        <v>262</v>
      </c>
      <c r="AC32" s="103" t="s">
        <v>278</v>
      </c>
      <c r="AD32" s="72"/>
      <c r="AE32" s="82" t="str">
        <f t="shared" ca="1" si="11"/>
        <v>VENCIDO</v>
      </c>
      <c r="AF32" s="84"/>
      <c r="AG32" s="103">
        <v>2024</v>
      </c>
      <c r="AH32" s="103" t="s">
        <v>262</v>
      </c>
      <c r="AI32" s="72"/>
      <c r="AJ32" s="72"/>
      <c r="AK32" s="82" t="str">
        <f t="shared" ca="1" si="12"/>
        <v>VENCIDO</v>
      </c>
      <c r="AL32" s="72"/>
      <c r="AM32" s="72"/>
      <c r="AN32" s="72"/>
      <c r="AO32" s="74"/>
      <c r="AP32" s="82" t="str">
        <f t="shared" ca="1" si="13"/>
        <v>VENCIDO</v>
      </c>
    </row>
    <row r="33" spans="1:42" x14ac:dyDescent="0.3">
      <c r="A33" s="70">
        <v>170</v>
      </c>
      <c r="B33" s="71" t="s">
        <v>175</v>
      </c>
      <c r="C33" s="103">
        <v>2024</v>
      </c>
      <c r="D33" s="103" t="s">
        <v>262</v>
      </c>
      <c r="E33" s="103" t="s">
        <v>284</v>
      </c>
      <c r="F33" s="73"/>
      <c r="G33" s="1" t="str">
        <f t="shared" ca="1" si="7"/>
        <v>VENCIDO</v>
      </c>
      <c r="H33" s="299"/>
      <c r="I33" s="103">
        <v>2024</v>
      </c>
      <c r="J33" s="103" t="s">
        <v>262</v>
      </c>
      <c r="K33" s="103" t="s">
        <v>285</v>
      </c>
      <c r="L33" s="72"/>
      <c r="M33" s="1" t="str">
        <f t="shared" ca="1" si="8"/>
        <v>VENCIDO</v>
      </c>
      <c r="N33" s="84"/>
      <c r="O33" s="103">
        <v>2023</v>
      </c>
      <c r="P33" s="103" t="s">
        <v>279</v>
      </c>
      <c r="Q33" s="103">
        <v>1304207238</v>
      </c>
      <c r="R33" s="72"/>
      <c r="S33" s="82" t="str">
        <f t="shared" ca="1" si="9"/>
        <v>VENCIDO</v>
      </c>
      <c r="T33" s="84"/>
      <c r="U33" s="103">
        <v>2024</v>
      </c>
      <c r="V33" s="103" t="s">
        <v>262</v>
      </c>
      <c r="W33" s="103" t="s">
        <v>286</v>
      </c>
      <c r="X33" s="72"/>
      <c r="Y33" s="82" t="str">
        <f t="shared" ca="1" si="10"/>
        <v>VENCIDO</v>
      </c>
      <c r="Z33" s="84"/>
      <c r="AA33" s="103">
        <v>2023</v>
      </c>
      <c r="AB33" s="103" t="s">
        <v>279</v>
      </c>
      <c r="AC33" s="103">
        <v>1304207250</v>
      </c>
      <c r="AD33" s="72"/>
      <c r="AE33" s="82" t="str">
        <f t="shared" ca="1" si="11"/>
        <v>VENCIDO</v>
      </c>
      <c r="AF33" s="84"/>
      <c r="AG33" s="103">
        <v>2024</v>
      </c>
      <c r="AH33" s="103" t="s">
        <v>262</v>
      </c>
      <c r="AI33" s="103" t="s">
        <v>287</v>
      </c>
      <c r="AJ33" s="72"/>
      <c r="AK33" s="82" t="str">
        <f t="shared" ca="1" si="12"/>
        <v>VENCIDO</v>
      </c>
      <c r="AL33" s="72"/>
      <c r="AM33" s="72"/>
      <c r="AN33" s="72"/>
      <c r="AO33" s="74"/>
      <c r="AP33" s="82" t="str">
        <f t="shared" ca="1" si="13"/>
        <v>VENCIDO</v>
      </c>
    </row>
    <row r="34" spans="1:42" x14ac:dyDescent="0.3">
      <c r="A34" s="70">
        <v>171</v>
      </c>
      <c r="B34" s="71" t="s">
        <v>176</v>
      </c>
      <c r="C34" s="108">
        <v>45383</v>
      </c>
      <c r="D34" s="72" t="s">
        <v>262</v>
      </c>
      <c r="E34" s="72" t="s">
        <v>364</v>
      </c>
      <c r="F34" s="73">
        <v>45710</v>
      </c>
      <c r="G34" s="1" t="str">
        <f t="shared" ca="1" si="7"/>
        <v>VENCIDO</v>
      </c>
      <c r="H34" s="299"/>
      <c r="I34" s="108">
        <v>45383</v>
      </c>
      <c r="J34" s="72" t="s">
        <v>262</v>
      </c>
      <c r="K34" s="72" t="s">
        <v>363</v>
      </c>
      <c r="L34" s="74">
        <v>45799</v>
      </c>
      <c r="M34" s="1" t="str">
        <f t="shared" ca="1" si="8"/>
        <v>VENCIDO</v>
      </c>
      <c r="N34" s="84"/>
      <c r="O34" s="108">
        <v>45413</v>
      </c>
      <c r="P34" s="72" t="s">
        <v>262</v>
      </c>
      <c r="Q34" s="72" t="s">
        <v>365</v>
      </c>
      <c r="R34" s="74">
        <v>45710</v>
      </c>
      <c r="S34" s="82" t="str">
        <f t="shared" ca="1" si="9"/>
        <v>VENCIDO</v>
      </c>
      <c r="T34" s="84"/>
      <c r="U34" s="108">
        <v>45413</v>
      </c>
      <c r="V34" s="72" t="s">
        <v>262</v>
      </c>
      <c r="W34" s="72" t="s">
        <v>366</v>
      </c>
      <c r="X34" s="74">
        <v>45710</v>
      </c>
      <c r="Y34" s="82" t="str">
        <f t="shared" ca="1" si="10"/>
        <v>VENCIDO</v>
      </c>
      <c r="Z34" s="84"/>
      <c r="AA34" s="108">
        <v>45383</v>
      </c>
      <c r="AB34" s="72" t="s">
        <v>262</v>
      </c>
      <c r="AC34" s="72" t="s">
        <v>367</v>
      </c>
      <c r="AD34" s="74">
        <v>45710</v>
      </c>
      <c r="AE34" s="82" t="str">
        <f t="shared" ca="1" si="11"/>
        <v>VENCIDO</v>
      </c>
      <c r="AF34" s="84"/>
      <c r="AG34" s="108">
        <v>45413</v>
      </c>
      <c r="AH34" s="72" t="s">
        <v>262</v>
      </c>
      <c r="AI34" s="72" t="s">
        <v>368</v>
      </c>
      <c r="AJ34" s="74">
        <v>45710</v>
      </c>
      <c r="AK34" s="82" t="str">
        <f t="shared" ca="1" si="12"/>
        <v>VENCIDO</v>
      </c>
      <c r="AL34" s="72"/>
      <c r="AM34" s="72"/>
      <c r="AN34" s="72"/>
      <c r="AO34" s="74"/>
      <c r="AP34" s="82" t="str">
        <f t="shared" ca="1" si="13"/>
        <v>VENCIDO</v>
      </c>
    </row>
    <row r="35" spans="1:42" x14ac:dyDescent="0.3">
      <c r="A35" s="39">
        <v>172</v>
      </c>
      <c r="B35" s="3" t="s">
        <v>177</v>
      </c>
      <c r="C35" s="72"/>
      <c r="D35" s="72"/>
      <c r="E35" s="72"/>
      <c r="F35" s="297"/>
      <c r="G35" s="85"/>
      <c r="H35" s="299"/>
      <c r="I35" s="72"/>
      <c r="J35" s="72"/>
      <c r="K35" s="72"/>
      <c r="L35" s="72"/>
      <c r="M35" s="85"/>
      <c r="N35" s="84"/>
      <c r="O35" s="72"/>
      <c r="P35" s="72"/>
      <c r="Q35" s="72"/>
      <c r="R35" s="72"/>
      <c r="S35" s="298"/>
      <c r="T35" s="84"/>
      <c r="U35" s="72"/>
      <c r="V35" s="72"/>
      <c r="W35" s="72"/>
      <c r="X35" s="72"/>
      <c r="Y35" s="298"/>
      <c r="Z35" s="84"/>
      <c r="AA35" s="72"/>
      <c r="AB35" s="72"/>
      <c r="AC35" s="72"/>
      <c r="AD35" s="72"/>
      <c r="AE35" s="298"/>
      <c r="AF35" s="84"/>
      <c r="AG35" s="72"/>
      <c r="AH35" s="72"/>
      <c r="AI35" s="72"/>
      <c r="AJ35" s="72"/>
      <c r="AK35" s="298"/>
      <c r="AL35" s="72"/>
      <c r="AM35" s="72"/>
      <c r="AN35" s="72"/>
      <c r="AO35" s="72"/>
      <c r="AP35" s="85"/>
    </row>
    <row r="36" spans="1:42" x14ac:dyDescent="0.3">
      <c r="A36" s="39">
        <v>173</v>
      </c>
      <c r="B36" s="3" t="s">
        <v>178</v>
      </c>
      <c r="C36" s="72"/>
      <c r="D36" s="72"/>
      <c r="E36" s="72"/>
      <c r="F36" s="297"/>
      <c r="G36" s="85"/>
      <c r="H36" s="299"/>
      <c r="I36" s="72"/>
      <c r="J36" s="72"/>
      <c r="K36" s="72"/>
      <c r="L36" s="72"/>
      <c r="M36" s="85"/>
      <c r="N36" s="84"/>
      <c r="O36" s="72"/>
      <c r="P36" s="72"/>
      <c r="Q36" s="72"/>
      <c r="R36" s="72"/>
      <c r="S36" s="298"/>
      <c r="T36" s="84"/>
      <c r="U36" s="72"/>
      <c r="V36" s="72"/>
      <c r="W36" s="72"/>
      <c r="X36" s="72"/>
      <c r="Y36" s="298"/>
      <c r="Z36" s="84"/>
      <c r="AA36" s="72"/>
      <c r="AB36" s="72"/>
      <c r="AC36" s="72"/>
      <c r="AD36" s="72"/>
      <c r="AE36" s="298"/>
      <c r="AF36" s="84"/>
      <c r="AG36" s="72"/>
      <c r="AH36" s="72"/>
      <c r="AI36" s="72"/>
      <c r="AJ36" s="72"/>
      <c r="AK36" s="298"/>
      <c r="AL36" s="72"/>
      <c r="AM36" s="72"/>
      <c r="AN36" s="72"/>
      <c r="AO36" s="72"/>
      <c r="AP36" s="85"/>
    </row>
    <row r="37" spans="1:42" x14ac:dyDescent="0.3">
      <c r="A37" s="70">
        <v>174</v>
      </c>
      <c r="B37" s="71" t="s">
        <v>179</v>
      </c>
      <c r="C37" s="72"/>
      <c r="D37" s="72"/>
      <c r="E37" s="72"/>
      <c r="F37" s="73"/>
      <c r="G37" s="1" t="str">
        <f ca="1">IF(F37&lt;TODAY(),"VENCIDO",IF(F37=TODAY(),"VENCE HOY",IF(F37&gt;TODAY(),"")))</f>
        <v>VENCIDO</v>
      </c>
      <c r="H37" s="299"/>
      <c r="I37" s="72"/>
      <c r="J37" s="72"/>
      <c r="K37" s="72"/>
      <c r="L37" s="72"/>
      <c r="M37" s="1" t="str">
        <f ca="1">IF(L37&lt;TODAY(),"VENCIDO",IF(L37=TODAY(),"VENCE HOY",IF(L37&gt;TODAY(),"")))</f>
        <v>VENCIDO</v>
      </c>
      <c r="N37" s="84"/>
      <c r="O37" s="72"/>
      <c r="P37" s="72"/>
      <c r="Q37" s="72"/>
      <c r="R37" s="72"/>
      <c r="S37" s="82" t="str">
        <f ca="1">IF(R37&lt;TODAY(),"VENCIDO",IF(R37=TODAY(),"VENCE HOY",IF(R37&gt;TODAY(),"")))</f>
        <v>VENCIDO</v>
      </c>
      <c r="T37" s="84"/>
      <c r="U37" s="72"/>
      <c r="V37" s="72"/>
      <c r="W37" s="72"/>
      <c r="X37" s="72"/>
      <c r="Y37" s="82" t="str">
        <f ca="1">IF(X37&lt;TODAY(),"VENCIDO",IF(X37=TODAY(),"VENCE HOY",IF(X37&gt;TODAY(),"")))</f>
        <v>VENCIDO</v>
      </c>
      <c r="Z37" s="84"/>
      <c r="AA37" s="72"/>
      <c r="AB37" s="72"/>
      <c r="AC37" s="72"/>
      <c r="AD37" s="72"/>
      <c r="AE37" s="82" t="str">
        <f ca="1">IF(AD37&lt;TODAY(),"VENCIDO",IF(AD37=TODAY(),"VENCE HOY",IF(AD37&gt;TODAY(),"")))</f>
        <v>VENCIDO</v>
      </c>
      <c r="AF37" s="84"/>
      <c r="AG37" s="72"/>
      <c r="AH37" s="72"/>
      <c r="AI37" s="72"/>
      <c r="AJ37" s="72"/>
      <c r="AK37" s="82" t="str">
        <f ca="1">IF(AJ37&lt;TODAY(),"VENCIDO",IF(AJ37=TODAY(),"VENCE HOY",IF(AJ37&gt;TODAY(),"")))</f>
        <v>VENCIDO</v>
      </c>
      <c r="AL37" s="72"/>
      <c r="AM37" s="72"/>
      <c r="AN37" s="72"/>
      <c r="AO37" s="74"/>
      <c r="AP37" s="82" t="str">
        <f ca="1">IF(AO37&lt;TODAY(),"VENCIDO",IF(AO37=TODAY(),"VENCE HOY",IF(AO37&gt;TODAY(),"")))</f>
        <v>VENCIDO</v>
      </c>
    </row>
    <row r="38" spans="1:42" x14ac:dyDescent="0.3">
      <c r="A38" s="70">
        <v>175</v>
      </c>
      <c r="B38" s="71" t="s">
        <v>180</v>
      </c>
      <c r="C38" s="72"/>
      <c r="D38" s="72"/>
      <c r="E38" s="72"/>
      <c r="F38" s="73"/>
      <c r="G38" s="1" t="str">
        <f ca="1">IF(F38&lt;TODAY(),"VENCIDO",IF(F38=TODAY(),"VENCE HOY",IF(F38&gt;TODAY(),"")))</f>
        <v>VENCIDO</v>
      </c>
      <c r="H38" s="299"/>
      <c r="I38" s="72"/>
      <c r="J38" s="72"/>
      <c r="K38" s="72"/>
      <c r="L38" s="72"/>
      <c r="M38" s="1" t="str">
        <f ca="1">IF(L38&lt;TODAY(),"VENCIDO",IF(L38=TODAY(),"VENCE HOY",IF(L38&gt;TODAY(),"")))</f>
        <v>VENCIDO</v>
      </c>
      <c r="N38" s="84"/>
      <c r="O38" s="108">
        <v>45383</v>
      </c>
      <c r="P38" s="72" t="s">
        <v>262</v>
      </c>
      <c r="Q38" s="72" t="s">
        <v>369</v>
      </c>
      <c r="R38" s="74">
        <v>45711</v>
      </c>
      <c r="S38" s="82" t="str">
        <f ca="1">IF(R38&lt;TODAY(),"VENCIDO",IF(R38=TODAY(),"VENCE HOY",IF(R38&gt;TODAY(),"")))</f>
        <v>VENCIDO</v>
      </c>
      <c r="T38" s="84"/>
      <c r="U38" s="108">
        <v>45383</v>
      </c>
      <c r="V38" s="72" t="s">
        <v>299</v>
      </c>
      <c r="W38" s="72" t="s">
        <v>369</v>
      </c>
      <c r="X38" s="74">
        <v>45711</v>
      </c>
      <c r="Y38" s="82" t="str">
        <f ca="1">IF(X38&lt;TODAY(),"VENCIDO",IF(X38=TODAY(),"VENCE HOY",IF(X38&gt;TODAY(),"")))</f>
        <v>VENCIDO</v>
      </c>
      <c r="Z38" s="84"/>
      <c r="AA38" s="108">
        <v>45383</v>
      </c>
      <c r="AB38" s="72" t="s">
        <v>262</v>
      </c>
      <c r="AC38" s="72" t="s">
        <v>370</v>
      </c>
      <c r="AD38" s="74">
        <v>45711</v>
      </c>
      <c r="AE38" s="82" t="str">
        <f ca="1">IF(AD38&lt;TODAY(),"VENCIDO",IF(AD38=TODAY(),"VENCE HOY",IF(AD38&gt;TODAY(),"")))</f>
        <v>VENCIDO</v>
      </c>
      <c r="AF38" s="84"/>
      <c r="AG38" s="108">
        <v>45383</v>
      </c>
      <c r="AH38" s="72" t="s">
        <v>262</v>
      </c>
      <c r="AI38" s="72" t="s">
        <v>371</v>
      </c>
      <c r="AJ38" s="74">
        <v>45711</v>
      </c>
      <c r="AK38" s="82" t="str">
        <f ca="1">IF(AJ38&lt;TODAY(),"VENCIDO",IF(AJ38=TODAY(),"VENCE HOY",IF(AJ38&gt;TODAY(),"")))</f>
        <v>VENCIDO</v>
      </c>
      <c r="AL38" s="108">
        <v>45383</v>
      </c>
      <c r="AM38" s="72" t="s">
        <v>262</v>
      </c>
      <c r="AN38" s="72" t="s">
        <v>362</v>
      </c>
      <c r="AO38" s="74">
        <v>45711</v>
      </c>
      <c r="AP38" s="82" t="str">
        <f ca="1">IF(AO38&lt;TODAY(),"VENCIDO",IF(AO38=TODAY(),"VENCE HOY",IF(AO38&gt;TODAY(),"")))</f>
        <v>VENCIDO</v>
      </c>
    </row>
    <row r="39" spans="1:42" x14ac:dyDescent="0.3">
      <c r="A39" s="39">
        <v>176</v>
      </c>
      <c r="B39" s="3" t="s">
        <v>397</v>
      </c>
      <c r="C39" s="72"/>
      <c r="D39" s="72"/>
      <c r="E39" s="72"/>
      <c r="F39" s="297"/>
      <c r="G39" s="85"/>
      <c r="H39" s="299"/>
      <c r="I39" s="72"/>
      <c r="J39" s="72"/>
      <c r="K39" s="72"/>
      <c r="L39" s="72"/>
      <c r="M39" s="85"/>
      <c r="N39" s="84"/>
      <c r="O39" s="72"/>
      <c r="P39" s="72"/>
      <c r="Q39" s="72"/>
      <c r="R39" s="72"/>
      <c r="S39" s="298"/>
      <c r="T39" s="84"/>
      <c r="U39" s="72"/>
      <c r="V39" s="72"/>
      <c r="W39" s="72"/>
      <c r="X39" s="72"/>
      <c r="Y39" s="298"/>
      <c r="Z39" s="84"/>
      <c r="AA39" s="72"/>
      <c r="AB39" s="72"/>
      <c r="AC39" s="72"/>
      <c r="AD39" s="72"/>
      <c r="AE39" s="298"/>
      <c r="AF39" s="84"/>
      <c r="AG39" s="72"/>
      <c r="AH39" s="72"/>
      <c r="AI39" s="72"/>
      <c r="AJ39" s="72"/>
      <c r="AK39" s="298"/>
      <c r="AL39" s="72"/>
      <c r="AM39" s="72"/>
      <c r="AN39" s="72"/>
      <c r="AO39" s="72"/>
      <c r="AP39" s="85"/>
    </row>
    <row r="40" spans="1:42" x14ac:dyDescent="0.3">
      <c r="A40" s="39">
        <v>177</v>
      </c>
      <c r="B40" s="3" t="s">
        <v>181</v>
      </c>
      <c r="C40" s="72"/>
      <c r="D40" s="72"/>
      <c r="E40" s="72"/>
      <c r="F40" s="297"/>
      <c r="G40" s="85"/>
      <c r="H40" s="299"/>
      <c r="I40" s="72"/>
      <c r="J40" s="72"/>
      <c r="K40" s="72"/>
      <c r="L40" s="72"/>
      <c r="M40" s="85"/>
      <c r="N40" s="84"/>
      <c r="O40" s="72"/>
      <c r="P40" s="72"/>
      <c r="Q40" s="72"/>
      <c r="R40" s="72"/>
      <c r="S40" s="298"/>
      <c r="T40" s="84"/>
      <c r="U40" s="72"/>
      <c r="V40" s="72"/>
      <c r="W40" s="72"/>
      <c r="X40" s="72"/>
      <c r="Y40" s="298"/>
      <c r="Z40" s="84"/>
      <c r="AA40" s="72"/>
      <c r="AB40" s="72"/>
      <c r="AC40" s="72"/>
      <c r="AD40" s="72"/>
      <c r="AE40" s="298"/>
      <c r="AF40" s="84"/>
      <c r="AG40" s="72"/>
      <c r="AH40" s="72"/>
      <c r="AI40" s="72"/>
      <c r="AJ40" s="72"/>
      <c r="AK40" s="298"/>
      <c r="AL40" s="72"/>
      <c r="AM40" s="72"/>
      <c r="AN40" s="72"/>
      <c r="AO40" s="72"/>
      <c r="AP40" s="85"/>
    </row>
    <row r="41" spans="1:42" x14ac:dyDescent="0.3">
      <c r="A41" s="70">
        <v>178</v>
      </c>
      <c r="B41" s="71" t="s">
        <v>182</v>
      </c>
      <c r="C41" s="72"/>
      <c r="D41" s="72"/>
      <c r="E41" s="72"/>
      <c r="F41" s="73"/>
      <c r="G41" s="1" t="str">
        <f ca="1">IF(F41&lt;TODAY(),"VENCIDO",IF(F41=TODAY(),"VENCE HOY",IF(F41&gt;TODAY(),"")))</f>
        <v>VENCIDO</v>
      </c>
      <c r="H41" s="299"/>
      <c r="I41" s="72"/>
      <c r="J41" s="72"/>
      <c r="K41" s="72"/>
      <c r="L41" s="72"/>
      <c r="M41" s="1" t="str">
        <f ca="1">IF(L41&lt;TODAY(),"VENCIDO",IF(L41=TODAY(),"VENCE HOY",IF(L41&gt;TODAY(),"")))</f>
        <v>VENCIDO</v>
      </c>
      <c r="N41" s="84"/>
      <c r="O41" s="72">
        <v>2024</v>
      </c>
      <c r="P41" s="72" t="s">
        <v>262</v>
      </c>
      <c r="Q41" s="72" t="s">
        <v>348</v>
      </c>
      <c r="R41" s="74">
        <v>45707</v>
      </c>
      <c r="S41" s="82" t="str">
        <f ca="1">IF(R41&lt;TODAY(),"VENCIDO",IF(R41=TODAY(),"VENCE HOY",IF(R41&gt;TODAY(),"")))</f>
        <v>VENCIDO</v>
      </c>
      <c r="T41" s="84"/>
      <c r="U41" s="72">
        <v>2024</v>
      </c>
      <c r="V41" s="72" t="s">
        <v>262</v>
      </c>
      <c r="W41" s="72" t="s">
        <v>349</v>
      </c>
      <c r="X41" s="74">
        <v>45707</v>
      </c>
      <c r="Y41" s="82" t="str">
        <f ca="1">IF(X41&lt;TODAY(),"VENCIDO",IF(X41=TODAY(),"VENCE HOY",IF(X41&gt;TODAY(),"")))</f>
        <v>VENCIDO</v>
      </c>
      <c r="Z41" s="84"/>
      <c r="AA41" s="72">
        <v>2024</v>
      </c>
      <c r="AB41" s="72" t="s">
        <v>262</v>
      </c>
      <c r="AC41" s="72" t="s">
        <v>350</v>
      </c>
      <c r="AD41" s="74">
        <v>45707</v>
      </c>
      <c r="AE41" s="82" t="str">
        <f ca="1">IF(AD41&lt;TODAY(),"VENCIDO",IF(AD41=TODAY(),"VENCE HOY",IF(AD41&gt;TODAY(),"")))</f>
        <v>VENCIDO</v>
      </c>
      <c r="AF41" s="84"/>
      <c r="AG41" s="72">
        <v>2024</v>
      </c>
      <c r="AH41" s="72" t="s">
        <v>262</v>
      </c>
      <c r="AI41" s="72" t="s">
        <v>351</v>
      </c>
      <c r="AJ41" s="74">
        <v>45707</v>
      </c>
      <c r="AK41" s="82" t="str">
        <f ca="1">IF(AJ41&lt;TODAY(),"VENCIDO",IF(AJ41=TODAY(),"VENCE HOY",IF(AJ41&gt;TODAY(),"")))</f>
        <v>VENCIDO</v>
      </c>
      <c r="AL41" s="72">
        <v>2022</v>
      </c>
      <c r="AM41" s="72" t="s">
        <v>352</v>
      </c>
      <c r="AN41" s="72">
        <v>22090320312</v>
      </c>
      <c r="AO41" s="74">
        <v>45707</v>
      </c>
      <c r="AP41" s="82" t="str">
        <f ca="1">IF(AO41&lt;TODAY(),"VENCIDO",IF(AO41=TODAY(),"VENCE HOY",IF(AO41&gt;TODAY(),"")))</f>
        <v>VENCIDO</v>
      </c>
    </row>
    <row r="42" spans="1:42" x14ac:dyDescent="0.3">
      <c r="A42" s="70">
        <v>179</v>
      </c>
      <c r="B42" s="71" t="s">
        <v>183</v>
      </c>
      <c r="C42" s="103">
        <v>2023</v>
      </c>
      <c r="D42" s="103" t="s">
        <v>279</v>
      </c>
      <c r="E42" s="103">
        <v>1304207282</v>
      </c>
      <c r="F42" s="73"/>
      <c r="G42" s="1" t="str">
        <f ca="1">IF(F42&lt;TODAY(),"VENCIDO",IF(F42=TODAY(),"VENCE HOY",IF(F42&gt;TODAY(),"")))</f>
        <v>VENCIDO</v>
      </c>
      <c r="H42" s="299"/>
      <c r="I42" s="103">
        <v>2023</v>
      </c>
      <c r="J42" s="103" t="s">
        <v>279</v>
      </c>
      <c r="K42" s="103">
        <v>1304306065</v>
      </c>
      <c r="L42" s="72"/>
      <c r="M42" s="1" t="str">
        <f ca="1">IF(L42&lt;TODAY(),"VENCIDO",IF(L42=TODAY(),"VENCE HOY",IF(L42&gt;TODAY(),"")))</f>
        <v>VENCIDO</v>
      </c>
      <c r="N42" s="84"/>
      <c r="O42" s="103">
        <v>2021</v>
      </c>
      <c r="P42" s="103" t="s">
        <v>267</v>
      </c>
      <c r="Q42" s="103" t="s">
        <v>282</v>
      </c>
      <c r="R42" s="72"/>
      <c r="S42" s="82" t="str">
        <f ca="1">IF(R42&lt;TODAY(),"VENCIDO",IF(R42=TODAY(),"VENCE HOY",IF(R42&gt;TODAY(),"")))</f>
        <v>VENCIDO</v>
      </c>
      <c r="T42" s="84"/>
      <c r="U42" s="103">
        <v>2021</v>
      </c>
      <c r="V42" s="103" t="s">
        <v>267</v>
      </c>
      <c r="W42" s="103" t="s">
        <v>283</v>
      </c>
      <c r="X42" s="72"/>
      <c r="Y42" s="82" t="str">
        <f ca="1">IF(X42&lt;TODAY(),"VENCIDO",IF(X42=TODAY(),"VENCE HOY",IF(X42&gt;TODAY(),"")))</f>
        <v>VENCIDO</v>
      </c>
      <c r="Z42" s="84"/>
      <c r="AA42" s="72"/>
      <c r="AB42" s="72"/>
      <c r="AC42" s="72"/>
      <c r="AD42" s="72"/>
      <c r="AE42" s="82" t="str">
        <f ca="1">IF(AD42&lt;TODAY(),"VENCIDO",IF(AD42=TODAY(),"VENCE HOY",IF(AD42&gt;TODAY(),"")))</f>
        <v>VENCIDO</v>
      </c>
      <c r="AF42" s="84"/>
      <c r="AG42" s="72"/>
      <c r="AH42" s="72"/>
      <c r="AI42" s="72"/>
      <c r="AJ42" s="72"/>
      <c r="AK42" s="82" t="str">
        <f ca="1">IF(AJ42&lt;TODAY(),"VENCIDO",IF(AJ42=TODAY(),"VENCE HOY",IF(AJ42&gt;TODAY(),"")))</f>
        <v>VENCIDO</v>
      </c>
      <c r="AL42" s="72"/>
      <c r="AM42" s="72"/>
      <c r="AN42" s="72"/>
      <c r="AO42" s="74"/>
      <c r="AP42" s="82" t="str">
        <f ca="1">IF(AO42&lt;TODAY(),"VENCIDO",IF(AO42=TODAY(),"VENCE HOY",IF(AO42&gt;TODAY(),"")))</f>
        <v>VENCIDO</v>
      </c>
    </row>
    <row r="43" spans="1:42" x14ac:dyDescent="0.3">
      <c r="A43" s="70">
        <v>180</v>
      </c>
      <c r="B43" s="71" t="s">
        <v>184</v>
      </c>
      <c r="C43" s="72"/>
      <c r="D43" s="72"/>
      <c r="E43" s="72"/>
      <c r="F43" s="73"/>
      <c r="G43" s="1" t="str">
        <f ca="1">IF(F43&lt;TODAY(),"VENCIDO",IF(F43=TODAY(),"VENCE HOY",IF(F43&gt;TODAY(),"")))</f>
        <v>VENCIDO</v>
      </c>
      <c r="H43" s="299"/>
      <c r="I43" s="72"/>
      <c r="J43" s="72"/>
      <c r="K43" s="72"/>
      <c r="L43" s="72"/>
      <c r="M43" s="1" t="str">
        <f ca="1">IF(L43&lt;TODAY(),"VENCIDO",IF(L43=TODAY(),"VENCE HOY",IF(L43&gt;TODAY(),"")))</f>
        <v>VENCIDO</v>
      </c>
      <c r="N43" s="84"/>
      <c r="O43" s="108">
        <v>45413</v>
      </c>
      <c r="P43" s="72" t="s">
        <v>262</v>
      </c>
      <c r="Q43" s="72" t="s">
        <v>372</v>
      </c>
      <c r="R43" s="74">
        <v>45711</v>
      </c>
      <c r="S43" s="82" t="str">
        <f ca="1">IF(R43&lt;TODAY(),"VENCIDO",IF(R43=TODAY(),"VENCE HOY",IF(R43&gt;TODAY(),"")))</f>
        <v>VENCIDO</v>
      </c>
      <c r="T43" s="84"/>
      <c r="U43" s="108">
        <v>45444</v>
      </c>
      <c r="V43" s="72" t="s">
        <v>262</v>
      </c>
      <c r="W43" s="72" t="s">
        <v>373</v>
      </c>
      <c r="X43" s="74">
        <v>45711</v>
      </c>
      <c r="Y43" s="82" t="str">
        <f ca="1">IF(X43&lt;TODAY(),"VENCIDO",IF(X43=TODAY(),"VENCE HOY",IF(X43&gt;TODAY(),"")))</f>
        <v>VENCIDO</v>
      </c>
      <c r="Z43" s="84"/>
      <c r="AA43" s="108">
        <v>45413</v>
      </c>
      <c r="AB43" s="72" t="s">
        <v>262</v>
      </c>
      <c r="AC43" s="72" t="s">
        <v>374</v>
      </c>
      <c r="AD43" s="74">
        <v>45711</v>
      </c>
      <c r="AE43" s="82" t="str">
        <f ca="1">IF(AD43&lt;TODAY(),"VENCIDO",IF(AD43=TODAY(),"VENCE HOY",IF(AD43&gt;TODAY(),"")))</f>
        <v>VENCIDO</v>
      </c>
      <c r="AF43" s="84"/>
      <c r="AG43" s="108">
        <v>45413</v>
      </c>
      <c r="AH43" s="72" t="s">
        <v>299</v>
      </c>
      <c r="AI43" s="72" t="s">
        <v>375</v>
      </c>
      <c r="AJ43" s="74">
        <v>45711</v>
      </c>
      <c r="AK43" s="82" t="str">
        <f ca="1">IF(AJ43&lt;TODAY(),"VENCIDO",IF(AJ43=TODAY(),"VENCE HOY",IF(AJ43&gt;TODAY(),"")))</f>
        <v>VENCIDO</v>
      </c>
      <c r="AL43" s="108">
        <v>44682</v>
      </c>
      <c r="AM43" s="72" t="s">
        <v>352</v>
      </c>
      <c r="AN43" s="72">
        <v>22090370843</v>
      </c>
      <c r="AO43" s="74">
        <v>45711</v>
      </c>
      <c r="AP43" s="82" t="str">
        <f ca="1">IF(AO43&lt;TODAY(),"VENCIDO",IF(AO43=TODAY(),"VENCE HOY",IF(AO43&gt;TODAY(),"")))</f>
        <v>VENCIDO</v>
      </c>
    </row>
    <row r="44" spans="1:42" x14ac:dyDescent="0.3">
      <c r="A44" s="39">
        <v>181</v>
      </c>
      <c r="B44" s="3" t="s">
        <v>398</v>
      </c>
      <c r="C44" s="72"/>
      <c r="D44" s="72"/>
      <c r="E44" s="72"/>
      <c r="F44" s="297"/>
      <c r="G44" s="85"/>
      <c r="H44" s="299"/>
      <c r="I44" s="72"/>
      <c r="J44" s="72"/>
      <c r="K44" s="72"/>
      <c r="L44" s="72"/>
      <c r="M44" s="85"/>
      <c r="N44" s="84"/>
      <c r="O44" s="72"/>
      <c r="P44" s="72"/>
      <c r="Q44" s="72"/>
      <c r="R44" s="72"/>
      <c r="S44" s="298"/>
      <c r="T44" s="84"/>
      <c r="U44" s="72"/>
      <c r="V44" s="72"/>
      <c r="W44" s="72"/>
      <c r="X44" s="72"/>
      <c r="Y44" s="298"/>
      <c r="Z44" s="84"/>
      <c r="AA44" s="72"/>
      <c r="AB44" s="72"/>
      <c r="AC44" s="72"/>
      <c r="AD44" s="72"/>
      <c r="AE44" s="298"/>
      <c r="AF44" s="84"/>
      <c r="AG44" s="72"/>
      <c r="AH44" s="72"/>
      <c r="AI44" s="72"/>
      <c r="AJ44" s="72"/>
      <c r="AK44" s="298"/>
      <c r="AL44" s="72"/>
      <c r="AM44" s="72"/>
      <c r="AN44" s="72"/>
      <c r="AO44" s="72"/>
      <c r="AP44" s="85"/>
    </row>
    <row r="45" spans="1:42" x14ac:dyDescent="0.3">
      <c r="A45" s="39">
        <v>182</v>
      </c>
      <c r="B45" s="3" t="s">
        <v>399</v>
      </c>
      <c r="C45" s="72"/>
      <c r="D45" s="72"/>
      <c r="E45" s="72"/>
      <c r="F45" s="297"/>
      <c r="G45" s="85"/>
      <c r="H45" s="299"/>
      <c r="I45" s="72"/>
      <c r="J45" s="72"/>
      <c r="K45" s="72"/>
      <c r="L45" s="72"/>
      <c r="M45" s="85"/>
      <c r="N45" s="84"/>
      <c r="O45" s="72"/>
      <c r="P45" s="72"/>
      <c r="Q45" s="72"/>
      <c r="R45" s="72"/>
      <c r="S45" s="298"/>
      <c r="T45" s="84"/>
      <c r="U45" s="72"/>
      <c r="V45" s="72"/>
      <c r="W45" s="72"/>
      <c r="X45" s="72"/>
      <c r="Y45" s="298"/>
      <c r="Z45" s="84"/>
      <c r="AA45" s="72"/>
      <c r="AB45" s="72"/>
      <c r="AC45" s="72"/>
      <c r="AD45" s="72"/>
      <c r="AE45" s="298"/>
      <c r="AF45" s="84"/>
      <c r="AG45" s="72"/>
      <c r="AH45" s="72"/>
      <c r="AI45" s="72"/>
      <c r="AJ45" s="72"/>
      <c r="AK45" s="298"/>
      <c r="AL45" s="72"/>
      <c r="AM45" s="72"/>
      <c r="AN45" s="72"/>
      <c r="AO45" s="72"/>
      <c r="AP45" s="85"/>
    </row>
    <row r="46" spans="1:42" x14ac:dyDescent="0.3">
      <c r="A46" s="70">
        <v>183</v>
      </c>
      <c r="B46" s="71" t="s">
        <v>185</v>
      </c>
      <c r="C46" s="107">
        <v>2023</v>
      </c>
      <c r="D46" s="103" t="s">
        <v>279</v>
      </c>
      <c r="E46" s="107">
        <v>1304211695</v>
      </c>
      <c r="F46" s="73"/>
      <c r="G46" s="1" t="str">
        <f t="shared" ref="G46:G57" ca="1" si="14">IF(F46&lt;TODAY(),"VENCIDO",IF(F46=TODAY(),"VENCE HOY",IF(F46&gt;TODAY(),"")))</f>
        <v>VENCIDO</v>
      </c>
      <c r="H46" s="299"/>
      <c r="I46" s="103">
        <v>2023</v>
      </c>
      <c r="J46" s="95" t="s">
        <v>279</v>
      </c>
      <c r="K46" s="103">
        <v>1304308483</v>
      </c>
      <c r="L46" s="72"/>
      <c r="M46" s="1" t="str">
        <f t="shared" ref="M46:M57" ca="1" si="15">IF(L46&lt;TODAY(),"VENCIDO",IF(L46=TODAY(),"VENCE HOY",IF(L46&gt;TODAY(),"")))</f>
        <v>VENCIDO</v>
      </c>
      <c r="N46" s="84"/>
      <c r="O46" s="72"/>
      <c r="P46" s="72"/>
      <c r="Q46" s="72"/>
      <c r="R46" s="72"/>
      <c r="S46" s="82" t="str">
        <f t="shared" ref="S46:S57" ca="1" si="16">IF(R46&lt;TODAY(),"VENCIDO",IF(R46=TODAY(),"VENCE HOY",IF(R46&gt;TODAY(),"")))</f>
        <v>VENCIDO</v>
      </c>
      <c r="T46" s="84"/>
      <c r="U46" s="103">
        <v>2023</v>
      </c>
      <c r="V46" s="103" t="s">
        <v>262</v>
      </c>
      <c r="W46" s="103" t="s">
        <v>280</v>
      </c>
      <c r="X46" s="72"/>
      <c r="Y46" s="82" t="str">
        <f t="shared" ref="Y46:Y57" ca="1" si="17">IF(X46&lt;TODAY(),"VENCIDO",IF(X46=TODAY(),"VENCE HOY",IF(X46&gt;TODAY(),"")))</f>
        <v>VENCIDO</v>
      </c>
      <c r="Z46" s="84"/>
      <c r="AA46" s="103">
        <v>2023</v>
      </c>
      <c r="AB46" s="103" t="s">
        <v>262</v>
      </c>
      <c r="AC46" s="95" t="s">
        <v>281</v>
      </c>
      <c r="AD46" s="72"/>
      <c r="AE46" s="82" t="str">
        <f t="shared" ref="AE46:AE57" ca="1" si="18">IF(AD46&lt;TODAY(),"VENCIDO",IF(AD46=TODAY(),"VENCE HOY",IF(AD46&gt;TODAY(),"")))</f>
        <v>VENCIDO</v>
      </c>
      <c r="AF46" s="84"/>
      <c r="AG46" s="72"/>
      <c r="AH46" s="72"/>
      <c r="AI46" s="72"/>
      <c r="AJ46" s="72"/>
      <c r="AK46" s="82" t="str">
        <f t="shared" ref="AK46:AK57" ca="1" si="19">IF(AJ46&lt;TODAY(),"VENCIDO",IF(AJ46=TODAY(),"VENCE HOY",IF(AJ46&gt;TODAY(),"")))</f>
        <v>VENCIDO</v>
      </c>
      <c r="AL46" s="72"/>
      <c r="AM46" s="72"/>
      <c r="AN46" s="72"/>
      <c r="AO46" s="74"/>
      <c r="AP46" s="82" t="str">
        <f t="shared" ref="AP46:AP57" ca="1" si="20">IF(AO46&lt;TODAY(),"VENCIDO",IF(AO46=TODAY(),"VENCE HOY",IF(AO46&gt;TODAY(),"")))</f>
        <v>VENCIDO</v>
      </c>
    </row>
    <row r="47" spans="1:42" x14ac:dyDescent="0.3">
      <c r="A47" s="70">
        <v>184</v>
      </c>
      <c r="B47" s="71" t="s">
        <v>186</v>
      </c>
      <c r="C47" s="161" t="s">
        <v>325</v>
      </c>
      <c r="D47" s="105" t="s">
        <v>326</v>
      </c>
      <c r="E47" s="105">
        <v>1304211686</v>
      </c>
      <c r="F47" s="73"/>
      <c r="G47" s="1" t="str">
        <f t="shared" ca="1" si="14"/>
        <v>VENCIDO</v>
      </c>
      <c r="H47" s="299"/>
      <c r="I47" s="162" t="s">
        <v>325</v>
      </c>
      <c r="J47" s="163" t="s">
        <v>326</v>
      </c>
      <c r="K47" s="163">
        <v>1304211644</v>
      </c>
      <c r="L47" s="72"/>
      <c r="M47" s="1" t="str">
        <f t="shared" ca="1" si="15"/>
        <v>VENCIDO</v>
      </c>
      <c r="N47" s="84"/>
      <c r="O47" s="72" t="s">
        <v>325</v>
      </c>
      <c r="P47" s="72" t="s">
        <v>279</v>
      </c>
      <c r="Q47" s="72">
        <v>1304109379</v>
      </c>
      <c r="R47" s="74">
        <v>45707</v>
      </c>
      <c r="S47" s="82" t="str">
        <f t="shared" ca="1" si="16"/>
        <v>VENCIDO</v>
      </c>
      <c r="T47" s="84"/>
      <c r="U47" s="72" t="s">
        <v>325</v>
      </c>
      <c r="V47" s="72" t="s">
        <v>279</v>
      </c>
      <c r="W47" s="72">
        <v>1304102384</v>
      </c>
      <c r="X47" s="74">
        <v>45707</v>
      </c>
      <c r="Y47" s="82" t="str">
        <f t="shared" ca="1" si="17"/>
        <v>VENCIDO</v>
      </c>
      <c r="Z47" s="84"/>
      <c r="AA47" s="108">
        <v>45444</v>
      </c>
      <c r="AB47" s="72" t="s">
        <v>262</v>
      </c>
      <c r="AC47" s="72" t="s">
        <v>353</v>
      </c>
      <c r="AD47" s="74">
        <v>45707</v>
      </c>
      <c r="AE47" s="82" t="str">
        <f t="shared" ca="1" si="18"/>
        <v>VENCIDO</v>
      </c>
      <c r="AF47" s="84"/>
      <c r="AG47" s="108">
        <v>46174</v>
      </c>
      <c r="AH47" s="72" t="s">
        <v>262</v>
      </c>
      <c r="AI47" s="72" t="s">
        <v>354</v>
      </c>
      <c r="AJ47" s="74">
        <v>45707</v>
      </c>
      <c r="AK47" s="82" t="str">
        <f t="shared" ca="1" si="19"/>
        <v>VENCIDO</v>
      </c>
      <c r="AL47" s="72">
        <v>2021</v>
      </c>
      <c r="AM47" s="72" t="s">
        <v>267</v>
      </c>
      <c r="AN47" s="72" t="s">
        <v>355</v>
      </c>
      <c r="AO47" s="74">
        <v>45707</v>
      </c>
      <c r="AP47" s="82" t="str">
        <f t="shared" ca="1" si="20"/>
        <v>VENCIDO</v>
      </c>
    </row>
    <row r="48" spans="1:42" x14ac:dyDescent="0.3">
      <c r="A48" s="70">
        <v>186</v>
      </c>
      <c r="B48" s="71" t="s">
        <v>187</v>
      </c>
      <c r="C48" s="103">
        <v>2023</v>
      </c>
      <c r="D48" s="103" t="s">
        <v>279</v>
      </c>
      <c r="E48" s="103">
        <v>1304115119</v>
      </c>
      <c r="F48" s="73"/>
      <c r="G48" s="1" t="str">
        <f t="shared" ca="1" si="14"/>
        <v>VENCIDO</v>
      </c>
      <c r="H48" s="299"/>
      <c r="I48" s="103">
        <v>2023</v>
      </c>
      <c r="J48" s="103" t="s">
        <v>279</v>
      </c>
      <c r="K48" s="103">
        <v>1304313973</v>
      </c>
      <c r="L48" s="72"/>
      <c r="M48" s="1" t="str">
        <f t="shared" ca="1" si="15"/>
        <v>VENCIDO</v>
      </c>
      <c r="N48" s="84"/>
      <c r="O48" s="72"/>
      <c r="P48" s="72"/>
      <c r="Q48" s="72"/>
      <c r="R48" s="72"/>
      <c r="S48" s="82" t="str">
        <f t="shared" ca="1" si="16"/>
        <v>VENCIDO</v>
      </c>
      <c r="T48" s="84"/>
      <c r="U48" s="72"/>
      <c r="V48" s="72"/>
      <c r="W48" s="72"/>
      <c r="X48" s="72"/>
      <c r="Y48" s="82" t="str">
        <f t="shared" ca="1" si="17"/>
        <v>VENCIDO</v>
      </c>
      <c r="Z48" s="84"/>
      <c r="AA48" s="72"/>
      <c r="AB48" s="72"/>
      <c r="AC48" s="72"/>
      <c r="AD48" s="72"/>
      <c r="AE48" s="82" t="str">
        <f t="shared" ca="1" si="18"/>
        <v>VENCIDO</v>
      </c>
      <c r="AF48" s="84"/>
      <c r="AG48" s="72"/>
      <c r="AH48" s="72"/>
      <c r="AI48" s="72"/>
      <c r="AJ48" s="72"/>
      <c r="AK48" s="82" t="str">
        <f t="shared" ca="1" si="19"/>
        <v>VENCIDO</v>
      </c>
      <c r="AL48" s="72"/>
      <c r="AM48" s="72"/>
      <c r="AN48" s="72"/>
      <c r="AO48" s="74"/>
      <c r="AP48" s="82" t="str">
        <f t="shared" ca="1" si="20"/>
        <v>VENCIDO</v>
      </c>
    </row>
    <row r="49" spans="1:42" x14ac:dyDescent="0.3">
      <c r="A49" s="70">
        <v>187</v>
      </c>
      <c r="B49" s="71" t="s">
        <v>188</v>
      </c>
      <c r="C49" s="72"/>
      <c r="D49" s="72"/>
      <c r="E49" s="72"/>
      <c r="F49" s="73"/>
      <c r="G49" s="1" t="str">
        <f t="shared" ca="1" si="14"/>
        <v>VENCIDO</v>
      </c>
      <c r="H49" s="299"/>
      <c r="I49" s="72"/>
      <c r="J49" s="72"/>
      <c r="K49" s="72"/>
      <c r="L49" s="72"/>
      <c r="M49" s="1" t="str">
        <f t="shared" ca="1" si="15"/>
        <v>VENCIDO</v>
      </c>
      <c r="N49" s="84"/>
      <c r="O49" s="72"/>
      <c r="P49" s="72"/>
      <c r="Q49" s="72"/>
      <c r="R49" s="72"/>
      <c r="S49" s="82" t="str">
        <f t="shared" ca="1" si="16"/>
        <v>VENCIDO</v>
      </c>
      <c r="T49" s="84"/>
      <c r="U49" s="72"/>
      <c r="V49" s="72"/>
      <c r="W49" s="72"/>
      <c r="X49" s="72"/>
      <c r="Y49" s="82" t="str">
        <f t="shared" ca="1" si="17"/>
        <v>VENCIDO</v>
      </c>
      <c r="Z49" s="84"/>
      <c r="AA49" s="72"/>
      <c r="AB49" s="72"/>
      <c r="AC49" s="72"/>
      <c r="AD49" s="72"/>
      <c r="AE49" s="82" t="str">
        <f t="shared" ca="1" si="18"/>
        <v>VENCIDO</v>
      </c>
      <c r="AF49" s="84"/>
      <c r="AG49" s="72"/>
      <c r="AH49" s="72"/>
      <c r="AI49" s="72"/>
      <c r="AJ49" s="72"/>
      <c r="AK49" s="82" t="str">
        <f t="shared" ca="1" si="19"/>
        <v>VENCIDO</v>
      </c>
      <c r="AL49" s="72"/>
      <c r="AM49" s="72"/>
      <c r="AN49" s="72"/>
      <c r="AO49" s="74"/>
      <c r="AP49" s="82" t="str">
        <f t="shared" ca="1" si="20"/>
        <v>VENCIDO</v>
      </c>
    </row>
    <row r="50" spans="1:42" x14ac:dyDescent="0.3">
      <c r="A50" s="70">
        <v>221</v>
      </c>
      <c r="B50" s="71" t="s">
        <v>203</v>
      </c>
      <c r="C50" s="103">
        <v>2022</v>
      </c>
      <c r="D50" s="103" t="s">
        <v>267</v>
      </c>
      <c r="E50" s="103" t="s">
        <v>339</v>
      </c>
      <c r="F50" s="73"/>
      <c r="G50" s="1" t="str">
        <f t="shared" ca="1" si="14"/>
        <v>VENCIDO</v>
      </c>
      <c r="H50" s="299"/>
      <c r="I50" s="103">
        <v>2022</v>
      </c>
      <c r="J50" s="103" t="s">
        <v>267</v>
      </c>
      <c r="K50" s="72"/>
      <c r="L50" s="72"/>
      <c r="M50" s="1" t="str">
        <f t="shared" ca="1" si="15"/>
        <v>VENCIDO</v>
      </c>
      <c r="N50" s="84"/>
      <c r="O50" s="72"/>
      <c r="P50" s="72"/>
      <c r="Q50" s="72"/>
      <c r="R50" s="72"/>
      <c r="S50" s="82" t="str">
        <f t="shared" ca="1" si="16"/>
        <v>VENCIDO</v>
      </c>
      <c r="T50" s="84"/>
      <c r="U50" s="72"/>
      <c r="V50" s="72"/>
      <c r="W50" s="72"/>
      <c r="X50" s="72"/>
      <c r="Y50" s="82" t="str">
        <f t="shared" ca="1" si="17"/>
        <v>VENCIDO</v>
      </c>
      <c r="Z50" s="84"/>
      <c r="AA50" s="72"/>
      <c r="AB50" s="72"/>
      <c r="AC50" s="72"/>
      <c r="AD50" s="72"/>
      <c r="AE50" s="82" t="str">
        <f t="shared" ca="1" si="18"/>
        <v>VENCIDO</v>
      </c>
      <c r="AF50" s="84"/>
      <c r="AG50" s="72"/>
      <c r="AH50" s="72"/>
      <c r="AI50" s="72"/>
      <c r="AJ50" s="72"/>
      <c r="AK50" s="82" t="str">
        <f t="shared" ca="1" si="19"/>
        <v>VENCIDO</v>
      </c>
      <c r="AL50" s="72"/>
      <c r="AM50" s="72"/>
      <c r="AN50" s="72"/>
      <c r="AO50" s="74"/>
      <c r="AP50" s="82" t="str">
        <f t="shared" ca="1" si="20"/>
        <v>VENCIDO</v>
      </c>
    </row>
    <row r="51" spans="1:42" x14ac:dyDescent="0.3">
      <c r="A51" s="70">
        <v>222</v>
      </c>
      <c r="B51" s="71" t="s">
        <v>204</v>
      </c>
      <c r="C51" s="103">
        <v>2022</v>
      </c>
      <c r="D51" s="103" t="s">
        <v>267</v>
      </c>
      <c r="E51" s="103" t="s">
        <v>340</v>
      </c>
      <c r="F51" s="73"/>
      <c r="G51" s="1" t="str">
        <f t="shared" ca="1" si="14"/>
        <v>VENCIDO</v>
      </c>
      <c r="H51" s="299"/>
      <c r="I51" s="103">
        <v>2022</v>
      </c>
      <c r="J51" s="103" t="s">
        <v>267</v>
      </c>
      <c r="K51" s="103" t="s">
        <v>341</v>
      </c>
      <c r="L51" s="72"/>
      <c r="M51" s="1" t="str">
        <f t="shared" ca="1" si="15"/>
        <v>VENCIDO</v>
      </c>
      <c r="N51" s="84"/>
      <c r="O51" s="72"/>
      <c r="P51" s="72"/>
      <c r="Q51" s="72"/>
      <c r="R51" s="72"/>
      <c r="S51" s="82" t="str">
        <f t="shared" ca="1" si="16"/>
        <v>VENCIDO</v>
      </c>
      <c r="T51" s="84"/>
      <c r="U51" s="72"/>
      <c r="V51" s="72"/>
      <c r="W51" s="72"/>
      <c r="X51" s="72"/>
      <c r="Y51" s="82" t="str">
        <f t="shared" ca="1" si="17"/>
        <v>VENCIDO</v>
      </c>
      <c r="Z51" s="84"/>
      <c r="AA51" s="72"/>
      <c r="AB51" s="72"/>
      <c r="AC51" s="72"/>
      <c r="AD51" s="72"/>
      <c r="AE51" s="82" t="str">
        <f t="shared" ca="1" si="18"/>
        <v>VENCIDO</v>
      </c>
      <c r="AF51" s="84"/>
      <c r="AG51" s="72"/>
      <c r="AH51" s="72"/>
      <c r="AI51" s="72"/>
      <c r="AJ51" s="72"/>
      <c r="AK51" s="82" t="str">
        <f t="shared" ca="1" si="19"/>
        <v>VENCIDO</v>
      </c>
      <c r="AL51" s="72"/>
      <c r="AM51" s="72"/>
      <c r="AN51" s="72"/>
      <c r="AO51" s="74"/>
      <c r="AP51" s="82" t="str">
        <f t="shared" ca="1" si="20"/>
        <v>VENCIDO</v>
      </c>
    </row>
    <row r="52" spans="1:42" x14ac:dyDescent="0.3">
      <c r="A52" s="70">
        <v>223</v>
      </c>
      <c r="B52" s="71" t="s">
        <v>205</v>
      </c>
      <c r="C52" s="103">
        <v>2022</v>
      </c>
      <c r="D52" s="103" t="s">
        <v>267</v>
      </c>
      <c r="E52" s="103" t="s">
        <v>336</v>
      </c>
      <c r="F52" s="73"/>
      <c r="G52" s="1" t="str">
        <f t="shared" ca="1" si="14"/>
        <v>VENCIDO</v>
      </c>
      <c r="H52" s="299"/>
      <c r="I52" s="103">
        <v>2022</v>
      </c>
      <c r="J52" s="103" t="s">
        <v>267</v>
      </c>
      <c r="K52" s="103" t="s">
        <v>337</v>
      </c>
      <c r="L52" s="72"/>
      <c r="M52" s="1" t="str">
        <f t="shared" ca="1" si="15"/>
        <v>VENCIDO</v>
      </c>
      <c r="N52" s="84"/>
      <c r="O52" s="72"/>
      <c r="P52" s="72"/>
      <c r="Q52" s="72"/>
      <c r="R52" s="72"/>
      <c r="S52" s="82" t="str">
        <f t="shared" ca="1" si="16"/>
        <v>VENCIDO</v>
      </c>
      <c r="T52" s="84"/>
      <c r="U52" s="103">
        <v>2022</v>
      </c>
      <c r="V52" s="103" t="s">
        <v>267</v>
      </c>
      <c r="W52" s="103" t="s">
        <v>338</v>
      </c>
      <c r="X52" s="72"/>
      <c r="Y52" s="82" t="str">
        <f t="shared" ca="1" si="17"/>
        <v>VENCIDO</v>
      </c>
      <c r="Z52" s="84"/>
      <c r="AA52" s="72"/>
      <c r="AB52" s="72"/>
      <c r="AC52" s="72"/>
      <c r="AD52" s="72"/>
      <c r="AE52" s="82" t="str">
        <f t="shared" ca="1" si="18"/>
        <v>VENCIDO</v>
      </c>
      <c r="AF52" s="84"/>
      <c r="AG52" s="103">
        <v>2022</v>
      </c>
      <c r="AH52" s="103" t="s">
        <v>267</v>
      </c>
      <c r="AI52" s="72"/>
      <c r="AJ52" s="72"/>
      <c r="AK52" s="82" t="str">
        <f t="shared" ca="1" si="19"/>
        <v>VENCIDO</v>
      </c>
      <c r="AL52" s="72"/>
      <c r="AM52" s="72"/>
      <c r="AN52" s="72"/>
      <c r="AO52" s="74"/>
      <c r="AP52" s="82" t="str">
        <f t="shared" ca="1" si="20"/>
        <v>VENCIDO</v>
      </c>
    </row>
    <row r="53" spans="1:42" x14ac:dyDescent="0.3">
      <c r="A53" s="70">
        <v>230</v>
      </c>
      <c r="B53" s="71" t="s">
        <v>209</v>
      </c>
      <c r="C53" s="108">
        <v>45444</v>
      </c>
      <c r="D53" s="72" t="s">
        <v>262</v>
      </c>
      <c r="E53" s="72" t="s">
        <v>377</v>
      </c>
      <c r="F53" s="73">
        <v>45721</v>
      </c>
      <c r="G53" s="1" t="str">
        <f t="shared" ca="1" si="14"/>
        <v>VENCIDO</v>
      </c>
      <c r="H53" s="299"/>
      <c r="I53" s="108">
        <v>45444</v>
      </c>
      <c r="J53" s="72" t="s">
        <v>262</v>
      </c>
      <c r="K53" s="72" t="s">
        <v>378</v>
      </c>
      <c r="L53" s="74">
        <v>45721</v>
      </c>
      <c r="M53" s="1" t="str">
        <f t="shared" ca="1" si="15"/>
        <v>VENCIDO</v>
      </c>
      <c r="N53" s="84"/>
      <c r="O53" s="72"/>
      <c r="P53" s="72"/>
      <c r="Q53" s="72"/>
      <c r="R53" s="72"/>
      <c r="S53" s="82" t="str">
        <f t="shared" ca="1" si="16"/>
        <v>VENCIDO</v>
      </c>
      <c r="T53" s="84"/>
      <c r="U53" s="72"/>
      <c r="V53" s="72"/>
      <c r="W53" s="72"/>
      <c r="X53" s="72"/>
      <c r="Y53" s="82" t="str">
        <f t="shared" ca="1" si="17"/>
        <v>VENCIDO</v>
      </c>
      <c r="Z53" s="84"/>
      <c r="AA53" s="72"/>
      <c r="AB53" s="72"/>
      <c r="AC53" s="72"/>
      <c r="AD53" s="72"/>
      <c r="AE53" s="82" t="str">
        <f t="shared" ca="1" si="18"/>
        <v>VENCIDO</v>
      </c>
      <c r="AF53" s="84"/>
      <c r="AG53" s="72"/>
      <c r="AH53" s="72"/>
      <c r="AI53" s="72"/>
      <c r="AJ53" s="72"/>
      <c r="AK53" s="82" t="str">
        <f t="shared" ca="1" si="19"/>
        <v>VENCIDO</v>
      </c>
      <c r="AL53" s="72"/>
      <c r="AM53" s="72"/>
      <c r="AN53" s="72"/>
      <c r="AO53" s="74"/>
      <c r="AP53" s="82" t="str">
        <f t="shared" ca="1" si="20"/>
        <v>VENCIDO</v>
      </c>
    </row>
    <row r="54" spans="1:42" x14ac:dyDescent="0.3">
      <c r="A54" s="70">
        <v>231</v>
      </c>
      <c r="B54" s="71" t="s">
        <v>210</v>
      </c>
      <c r="C54" s="162" t="s">
        <v>297</v>
      </c>
      <c r="D54" s="163" t="s">
        <v>262</v>
      </c>
      <c r="E54" s="163" t="s">
        <v>327</v>
      </c>
      <c r="F54" s="73"/>
      <c r="G54" s="1" t="str">
        <f t="shared" ca="1" si="14"/>
        <v>VENCIDO</v>
      </c>
      <c r="H54" s="299"/>
      <c r="I54" s="162" t="s">
        <v>297</v>
      </c>
      <c r="J54" s="163" t="s">
        <v>262</v>
      </c>
      <c r="K54" s="163" t="s">
        <v>328</v>
      </c>
      <c r="L54" s="72"/>
      <c r="M54" s="1" t="str">
        <f t="shared" ca="1" si="15"/>
        <v>VENCIDO</v>
      </c>
      <c r="N54" s="84"/>
      <c r="O54" s="72"/>
      <c r="P54" s="72"/>
      <c r="Q54" s="72"/>
      <c r="R54" s="72"/>
      <c r="S54" s="82" t="str">
        <f t="shared" ca="1" si="16"/>
        <v>VENCIDO</v>
      </c>
      <c r="T54" s="84"/>
      <c r="U54" s="72"/>
      <c r="V54" s="72"/>
      <c r="W54" s="72"/>
      <c r="X54" s="72"/>
      <c r="Y54" s="82" t="str">
        <f t="shared" ca="1" si="17"/>
        <v>VENCIDO</v>
      </c>
      <c r="Z54" s="84"/>
      <c r="AA54" s="162" t="s">
        <v>329</v>
      </c>
      <c r="AB54" s="163" t="s">
        <v>330</v>
      </c>
      <c r="AC54" s="163" t="s">
        <v>331</v>
      </c>
      <c r="AD54" s="72"/>
      <c r="AE54" s="82" t="str">
        <f t="shared" ca="1" si="18"/>
        <v>VENCIDO</v>
      </c>
      <c r="AF54" s="84"/>
      <c r="AG54" s="162" t="s">
        <v>329</v>
      </c>
      <c r="AH54" s="163" t="s">
        <v>332</v>
      </c>
      <c r="AI54" s="163" t="s">
        <v>333</v>
      </c>
      <c r="AJ54" s="72"/>
      <c r="AK54" s="82" t="str">
        <f t="shared" ca="1" si="19"/>
        <v>VENCIDO</v>
      </c>
      <c r="AL54" s="72"/>
      <c r="AM54" s="72"/>
      <c r="AN54" s="72"/>
      <c r="AO54" s="74"/>
      <c r="AP54" s="82" t="str">
        <f t="shared" ca="1" si="20"/>
        <v>VENCIDO</v>
      </c>
    </row>
    <row r="55" spans="1:42" x14ac:dyDescent="0.3">
      <c r="A55" s="70">
        <v>232</v>
      </c>
      <c r="B55" s="71" t="s">
        <v>211</v>
      </c>
      <c r="C55" s="108">
        <v>45444</v>
      </c>
      <c r="D55" s="72" t="s">
        <v>262</v>
      </c>
      <c r="E55" s="72" t="s">
        <v>379</v>
      </c>
      <c r="F55" s="73">
        <v>45721</v>
      </c>
      <c r="G55" s="1" t="str">
        <f t="shared" ca="1" si="14"/>
        <v>VENCIDO</v>
      </c>
      <c r="H55" s="299"/>
      <c r="I55" s="108">
        <v>45444</v>
      </c>
      <c r="J55" s="72" t="s">
        <v>299</v>
      </c>
      <c r="K55" s="72" t="s">
        <v>380</v>
      </c>
      <c r="L55" s="74">
        <v>45721</v>
      </c>
      <c r="M55" s="1" t="str">
        <f t="shared" ca="1" si="15"/>
        <v>VENCIDO</v>
      </c>
      <c r="N55" s="84"/>
      <c r="O55" s="72"/>
      <c r="P55" s="72"/>
      <c r="Q55" s="72"/>
      <c r="R55" s="72"/>
      <c r="S55" s="82" t="str">
        <f t="shared" ca="1" si="16"/>
        <v>VENCIDO</v>
      </c>
      <c r="T55" s="84"/>
      <c r="U55" s="72"/>
      <c r="V55" s="72"/>
      <c r="W55" s="72"/>
      <c r="X55" s="72"/>
      <c r="Y55" s="82" t="str">
        <f t="shared" ca="1" si="17"/>
        <v>VENCIDO</v>
      </c>
      <c r="Z55" s="84"/>
      <c r="AA55" s="72"/>
      <c r="AB55" s="72"/>
      <c r="AC55" s="72"/>
      <c r="AD55" s="72"/>
      <c r="AE55" s="82" t="str">
        <f t="shared" ca="1" si="18"/>
        <v>VENCIDO</v>
      </c>
      <c r="AF55" s="84"/>
      <c r="AG55" s="103">
        <v>2019</v>
      </c>
      <c r="AH55" s="103" t="s">
        <v>332</v>
      </c>
      <c r="AI55" s="103" t="s">
        <v>344</v>
      </c>
      <c r="AJ55" s="72"/>
      <c r="AK55" s="82" t="str">
        <f t="shared" ca="1" si="19"/>
        <v>VENCIDO</v>
      </c>
      <c r="AL55" s="72"/>
      <c r="AM55" s="72"/>
      <c r="AN55" s="72"/>
      <c r="AO55" s="74"/>
      <c r="AP55" s="82" t="str">
        <f t="shared" ca="1" si="20"/>
        <v>VENCIDO</v>
      </c>
    </row>
    <row r="56" spans="1:42" x14ac:dyDescent="0.3">
      <c r="A56" s="70">
        <v>233</v>
      </c>
      <c r="B56" s="71" t="s">
        <v>212</v>
      </c>
      <c r="C56" s="103">
        <v>2022</v>
      </c>
      <c r="D56" s="103" t="s">
        <v>267</v>
      </c>
      <c r="E56" s="103" t="s">
        <v>342</v>
      </c>
      <c r="F56" s="73"/>
      <c r="G56" s="1" t="str">
        <f t="shared" ca="1" si="14"/>
        <v>VENCIDO</v>
      </c>
      <c r="H56" s="299"/>
      <c r="I56" s="103">
        <v>2022</v>
      </c>
      <c r="J56" s="103" t="s">
        <v>267</v>
      </c>
      <c r="K56" s="103" t="s">
        <v>343</v>
      </c>
      <c r="L56" s="72"/>
      <c r="M56" s="1" t="str">
        <f t="shared" ca="1" si="15"/>
        <v>VENCIDO</v>
      </c>
      <c r="N56" s="84"/>
      <c r="O56" s="72"/>
      <c r="P56" s="72"/>
      <c r="Q56" s="72"/>
      <c r="R56" s="72"/>
      <c r="S56" s="82" t="str">
        <f t="shared" ca="1" si="16"/>
        <v>VENCIDO</v>
      </c>
      <c r="T56" s="84"/>
      <c r="U56" s="72"/>
      <c r="V56" s="72"/>
      <c r="W56" s="72"/>
      <c r="X56" s="72"/>
      <c r="Y56" s="82" t="str">
        <f t="shared" ca="1" si="17"/>
        <v>VENCIDO</v>
      </c>
      <c r="Z56" s="84"/>
      <c r="AA56" s="72"/>
      <c r="AB56" s="72"/>
      <c r="AC56" s="72"/>
      <c r="AD56" s="72"/>
      <c r="AE56" s="82" t="str">
        <f t="shared" ca="1" si="18"/>
        <v>VENCIDO</v>
      </c>
      <c r="AF56" s="84"/>
      <c r="AG56" s="72"/>
      <c r="AH56" s="72"/>
      <c r="AI56" s="72"/>
      <c r="AJ56" s="72"/>
      <c r="AK56" s="82" t="str">
        <f t="shared" ca="1" si="19"/>
        <v>VENCIDO</v>
      </c>
      <c r="AL56" s="72"/>
      <c r="AM56" s="72"/>
      <c r="AN56" s="72"/>
      <c r="AO56" s="74"/>
      <c r="AP56" s="82" t="str">
        <f t="shared" ca="1" si="20"/>
        <v>VENCIDO</v>
      </c>
    </row>
    <row r="57" spans="1:42" x14ac:dyDescent="0.3">
      <c r="A57" s="70">
        <v>234</v>
      </c>
      <c r="B57" s="71" t="s">
        <v>213</v>
      </c>
      <c r="C57" s="72"/>
      <c r="D57" s="72"/>
      <c r="E57" s="72"/>
      <c r="F57" s="73"/>
      <c r="G57" s="1" t="str">
        <f t="shared" ca="1" si="14"/>
        <v>VENCIDO</v>
      </c>
      <c r="H57" s="299"/>
      <c r="I57" s="72"/>
      <c r="J57" s="72"/>
      <c r="K57" s="72"/>
      <c r="L57" s="72"/>
      <c r="M57" s="1" t="str">
        <f t="shared" ca="1" si="15"/>
        <v>VENCIDO</v>
      </c>
      <c r="N57" s="84"/>
      <c r="O57" s="72"/>
      <c r="P57" s="72"/>
      <c r="Q57" s="72"/>
      <c r="R57" s="72"/>
      <c r="S57" s="82" t="str">
        <f t="shared" ca="1" si="16"/>
        <v>VENCIDO</v>
      </c>
      <c r="T57" s="84"/>
      <c r="U57" s="72"/>
      <c r="V57" s="72"/>
      <c r="W57" s="72"/>
      <c r="X57" s="72"/>
      <c r="Y57" s="82" t="str">
        <f t="shared" ca="1" si="17"/>
        <v>VENCIDO</v>
      </c>
      <c r="Z57" s="84"/>
      <c r="AA57" s="72"/>
      <c r="AB57" s="72"/>
      <c r="AC57" s="72"/>
      <c r="AD57" s="72"/>
      <c r="AE57" s="82" t="str">
        <f t="shared" ca="1" si="18"/>
        <v>VENCIDO</v>
      </c>
      <c r="AF57" s="84"/>
      <c r="AG57" s="72"/>
      <c r="AH57" s="72"/>
      <c r="AI57" s="72"/>
      <c r="AJ57" s="72"/>
      <c r="AK57" s="82" t="str">
        <f t="shared" ca="1" si="19"/>
        <v>VENCIDO</v>
      </c>
      <c r="AL57" s="72"/>
      <c r="AM57" s="72"/>
      <c r="AN57" s="72"/>
      <c r="AO57" s="74"/>
      <c r="AP57" s="82" t="str">
        <f t="shared" ca="1" si="20"/>
        <v>VENCIDO</v>
      </c>
    </row>
    <row r="58" spans="1:42" x14ac:dyDescent="0.3">
      <c r="A58" s="39">
        <v>240</v>
      </c>
      <c r="B58" s="3" t="s">
        <v>400</v>
      </c>
      <c r="C58" s="72"/>
      <c r="D58" s="72"/>
      <c r="E58" s="72"/>
      <c r="F58" s="297"/>
      <c r="G58" s="85"/>
      <c r="H58" s="299"/>
      <c r="I58" s="72"/>
      <c r="J58" s="72"/>
      <c r="K58" s="72"/>
      <c r="L58" s="72"/>
      <c r="M58" s="85"/>
      <c r="N58" s="84"/>
      <c r="O58" s="72"/>
      <c r="P58" s="72"/>
      <c r="Q58" s="72"/>
      <c r="R58" s="72"/>
      <c r="S58" s="298"/>
      <c r="T58" s="84"/>
      <c r="U58" s="72"/>
      <c r="V58" s="72"/>
      <c r="W58" s="72"/>
      <c r="X58" s="72"/>
      <c r="Y58" s="298"/>
      <c r="Z58" s="84"/>
      <c r="AA58" s="72"/>
      <c r="AB58" s="72"/>
      <c r="AC58" s="72"/>
      <c r="AD58" s="72"/>
      <c r="AE58" s="298"/>
      <c r="AF58" s="84"/>
      <c r="AG58" s="72"/>
      <c r="AH58" s="72"/>
      <c r="AI58" s="72"/>
      <c r="AJ58" s="72"/>
      <c r="AK58" s="298"/>
      <c r="AL58" s="72"/>
      <c r="AM58" s="72"/>
      <c r="AN58" s="72"/>
      <c r="AO58" s="72"/>
      <c r="AP58" s="85"/>
    </row>
    <row r="59" spans="1:42" x14ac:dyDescent="0.3">
      <c r="A59" s="70">
        <v>241</v>
      </c>
      <c r="B59" s="71" t="s">
        <v>214</v>
      </c>
      <c r="C59" s="161" t="s">
        <v>325</v>
      </c>
      <c r="D59" s="105" t="s">
        <v>326</v>
      </c>
      <c r="E59" s="105">
        <v>1304115152</v>
      </c>
      <c r="F59" s="73"/>
      <c r="G59" s="1" t="str">
        <f t="shared" ref="G59:G64" ca="1" si="21">IF(F59&lt;TODAY(),"VENCIDO",IF(F59=TODAY(),"VENCE HOY",IF(F59&gt;TODAY(),"")))</f>
        <v>VENCIDO</v>
      </c>
      <c r="H59" s="299"/>
      <c r="I59" s="161" t="s">
        <v>325</v>
      </c>
      <c r="J59" s="105" t="s">
        <v>326</v>
      </c>
      <c r="K59" s="105">
        <v>1304313948</v>
      </c>
      <c r="L59" s="72"/>
      <c r="M59" s="1" t="str">
        <f t="shared" ref="M59:M64" ca="1" si="22">IF(L59&lt;TODAY(),"VENCIDO",IF(L59=TODAY(),"VENCE HOY",IF(L59&gt;TODAY(),"")))</f>
        <v>VENCIDO</v>
      </c>
      <c r="N59" s="84"/>
      <c r="O59" s="72"/>
      <c r="P59" s="72"/>
      <c r="Q59" s="72"/>
      <c r="R59" s="72"/>
      <c r="S59" s="82" t="str">
        <f t="shared" ref="S59:S64" ca="1" si="23">IF(R59&lt;TODAY(),"VENCIDO",IF(R59=TODAY(),"VENCE HOY",IF(R59&gt;TODAY(),"")))</f>
        <v>VENCIDO</v>
      </c>
      <c r="T59" s="84"/>
      <c r="U59" s="72"/>
      <c r="V59" s="72"/>
      <c r="W59" s="72"/>
      <c r="X59" s="72"/>
      <c r="Y59" s="82" t="str">
        <f t="shared" ref="Y59:Y64" ca="1" si="24">IF(X59&lt;TODAY(),"VENCIDO",IF(X59=TODAY(),"VENCE HOY",IF(X59&gt;TODAY(),"")))</f>
        <v>VENCIDO</v>
      </c>
      <c r="Z59" s="84"/>
      <c r="AA59" s="72"/>
      <c r="AB59" s="72"/>
      <c r="AC59" s="72"/>
      <c r="AD59" s="72"/>
      <c r="AE59" s="82" t="str">
        <f t="shared" ref="AE59:AE64" ca="1" si="25">IF(AD59&lt;TODAY(),"VENCIDO",IF(AD59=TODAY(),"VENCE HOY",IF(AD59&gt;TODAY(),"")))</f>
        <v>VENCIDO</v>
      </c>
      <c r="AF59" s="84"/>
      <c r="AG59" s="72"/>
      <c r="AH59" s="72"/>
      <c r="AI59" s="72"/>
      <c r="AJ59" s="72"/>
      <c r="AK59" s="82" t="str">
        <f t="shared" ref="AK59:AK64" ca="1" si="26">IF(AJ59&lt;TODAY(),"VENCIDO",IF(AJ59=TODAY(),"VENCE HOY",IF(AJ59&gt;TODAY(),"")))</f>
        <v>VENCIDO</v>
      </c>
      <c r="AL59" s="72"/>
      <c r="AM59" s="72"/>
      <c r="AN59" s="72"/>
      <c r="AO59" s="74"/>
      <c r="AP59" s="82" t="str">
        <f t="shared" ref="AP59:AP64" ca="1" si="27">IF(AO59&lt;TODAY(),"VENCIDO",IF(AO59=TODAY(),"VENCE HOY",IF(AO59&gt;TODAY(),"")))</f>
        <v>VENCIDO</v>
      </c>
    </row>
    <row r="60" spans="1:42" x14ac:dyDescent="0.3">
      <c r="A60" s="70">
        <v>242</v>
      </c>
      <c r="B60" s="71" t="s">
        <v>215</v>
      </c>
      <c r="C60" s="161" t="s">
        <v>325</v>
      </c>
      <c r="D60" s="105" t="s">
        <v>326</v>
      </c>
      <c r="E60" s="105">
        <v>1304207237</v>
      </c>
      <c r="F60" s="73"/>
      <c r="G60" s="1" t="str">
        <f t="shared" ca="1" si="21"/>
        <v>VENCIDO</v>
      </c>
      <c r="H60" s="299"/>
      <c r="I60" s="161" t="s">
        <v>325</v>
      </c>
      <c r="J60" s="105" t="s">
        <v>326</v>
      </c>
      <c r="K60" s="105">
        <v>1304207295</v>
      </c>
      <c r="L60" s="72"/>
      <c r="M60" s="1" t="str">
        <f t="shared" ca="1" si="22"/>
        <v>VENCIDO</v>
      </c>
      <c r="N60" s="84"/>
      <c r="O60" s="161">
        <v>2021</v>
      </c>
      <c r="P60" s="105" t="s">
        <v>267</v>
      </c>
      <c r="Q60" s="105" t="s">
        <v>334</v>
      </c>
      <c r="R60" s="72"/>
      <c r="S60" s="82" t="str">
        <f t="shared" ca="1" si="23"/>
        <v>VENCIDO</v>
      </c>
      <c r="T60" s="84"/>
      <c r="U60" s="161">
        <v>2021</v>
      </c>
      <c r="V60" s="105" t="s">
        <v>267</v>
      </c>
      <c r="W60" s="105" t="s">
        <v>335</v>
      </c>
      <c r="X60" s="72"/>
      <c r="Y60" s="82" t="str">
        <f t="shared" ca="1" si="24"/>
        <v>VENCIDO</v>
      </c>
      <c r="Z60" s="84"/>
      <c r="AA60" s="72"/>
      <c r="AB60" s="72"/>
      <c r="AC60" s="72"/>
      <c r="AD60" s="72"/>
      <c r="AE60" s="82" t="str">
        <f t="shared" ca="1" si="25"/>
        <v>VENCIDO</v>
      </c>
      <c r="AF60" s="84"/>
      <c r="AG60" s="72"/>
      <c r="AH60" s="72"/>
      <c r="AI60" s="72"/>
      <c r="AJ60" s="72"/>
      <c r="AK60" s="82" t="str">
        <f t="shared" ca="1" si="26"/>
        <v>VENCIDO</v>
      </c>
      <c r="AL60" s="72"/>
      <c r="AM60" s="72"/>
      <c r="AN60" s="72"/>
      <c r="AO60" s="74"/>
      <c r="AP60" s="82" t="str">
        <f t="shared" ca="1" si="27"/>
        <v>VENCIDO</v>
      </c>
    </row>
    <row r="61" spans="1:42" x14ac:dyDescent="0.3">
      <c r="A61" s="70">
        <v>243</v>
      </c>
      <c r="B61" s="71" t="s">
        <v>216</v>
      </c>
      <c r="C61" s="72"/>
      <c r="D61" s="72"/>
      <c r="E61" s="72"/>
      <c r="F61" s="73"/>
      <c r="G61" s="1" t="str">
        <f t="shared" ca="1" si="21"/>
        <v>VENCIDO</v>
      </c>
      <c r="H61" s="299"/>
      <c r="I61" s="72"/>
      <c r="J61" s="72"/>
      <c r="K61" s="72"/>
      <c r="L61" s="72"/>
      <c r="M61" s="1" t="str">
        <f t="shared" ca="1" si="22"/>
        <v>VENCIDO</v>
      </c>
      <c r="N61" s="84"/>
      <c r="O61" s="72"/>
      <c r="P61" s="72"/>
      <c r="Q61" s="72"/>
      <c r="R61" s="72"/>
      <c r="S61" s="82" t="str">
        <f t="shared" ca="1" si="23"/>
        <v>VENCIDO</v>
      </c>
      <c r="T61" s="84"/>
      <c r="U61" s="72"/>
      <c r="V61" s="72"/>
      <c r="W61" s="72"/>
      <c r="X61" s="72"/>
      <c r="Y61" s="82" t="str">
        <f t="shared" ca="1" si="24"/>
        <v>VENCIDO</v>
      </c>
      <c r="Z61" s="84"/>
      <c r="AA61" s="72"/>
      <c r="AB61" s="72"/>
      <c r="AC61" s="72"/>
      <c r="AD61" s="72"/>
      <c r="AE61" s="82" t="str">
        <f t="shared" ca="1" si="25"/>
        <v>VENCIDO</v>
      </c>
      <c r="AF61" s="84"/>
      <c r="AG61" s="72"/>
      <c r="AH61" s="72"/>
      <c r="AI61" s="72"/>
      <c r="AJ61" s="72"/>
      <c r="AK61" s="82" t="str">
        <f t="shared" ca="1" si="26"/>
        <v>VENCIDO</v>
      </c>
      <c r="AL61" s="72"/>
      <c r="AM61" s="72"/>
      <c r="AN61" s="72"/>
      <c r="AO61" s="74"/>
      <c r="AP61" s="82" t="str">
        <f t="shared" ca="1" si="27"/>
        <v>VENCIDO</v>
      </c>
    </row>
    <row r="62" spans="1:42" x14ac:dyDescent="0.3">
      <c r="A62" s="70">
        <v>244</v>
      </c>
      <c r="B62" s="71" t="s">
        <v>217</v>
      </c>
      <c r="C62" s="111"/>
      <c r="D62" s="95"/>
      <c r="E62" s="103"/>
      <c r="F62" s="73"/>
      <c r="G62" s="1" t="str">
        <f t="shared" ca="1" si="21"/>
        <v>VENCIDO</v>
      </c>
      <c r="H62" s="299"/>
      <c r="I62" s="72"/>
      <c r="J62" s="72"/>
      <c r="K62" s="72"/>
      <c r="L62" s="72"/>
      <c r="M62" s="1" t="str">
        <f t="shared" ca="1" si="22"/>
        <v>VENCIDO</v>
      </c>
      <c r="N62" s="84"/>
      <c r="O62" s="72"/>
      <c r="P62" s="72"/>
      <c r="Q62" s="72"/>
      <c r="R62" s="72"/>
      <c r="S62" s="82" t="str">
        <f t="shared" ca="1" si="23"/>
        <v>VENCIDO</v>
      </c>
      <c r="T62" s="84"/>
      <c r="U62" s="72"/>
      <c r="V62" s="72"/>
      <c r="W62" s="72"/>
      <c r="X62" s="72"/>
      <c r="Y62" s="82" t="str">
        <f t="shared" ca="1" si="24"/>
        <v>VENCIDO</v>
      </c>
      <c r="Z62" s="84"/>
      <c r="AA62" s="72"/>
      <c r="AB62" s="72"/>
      <c r="AC62" s="72"/>
      <c r="AD62" s="72"/>
      <c r="AE62" s="82" t="str">
        <f t="shared" ca="1" si="25"/>
        <v>VENCIDO</v>
      </c>
      <c r="AF62" s="84"/>
      <c r="AG62" s="72"/>
      <c r="AH62" s="72"/>
      <c r="AI62" s="72"/>
      <c r="AJ62" s="72"/>
      <c r="AK62" s="82" t="str">
        <f t="shared" ca="1" si="26"/>
        <v>VENCIDO</v>
      </c>
      <c r="AL62" s="72"/>
      <c r="AM62" s="72"/>
      <c r="AN62" s="72"/>
      <c r="AO62" s="74"/>
      <c r="AP62" s="82" t="str">
        <f t="shared" ca="1" si="27"/>
        <v>VENCIDO</v>
      </c>
    </row>
    <row r="63" spans="1:42" x14ac:dyDescent="0.3">
      <c r="A63" s="70">
        <v>245</v>
      </c>
      <c r="B63" s="71" t="s">
        <v>218</v>
      </c>
      <c r="C63" s="111">
        <v>45444</v>
      </c>
      <c r="D63" s="103" t="s">
        <v>262</v>
      </c>
      <c r="E63" s="103" t="s">
        <v>288</v>
      </c>
      <c r="F63" s="73">
        <v>45627</v>
      </c>
      <c r="G63" s="1" t="str">
        <f t="shared" ca="1" si="21"/>
        <v>VENCIDO</v>
      </c>
      <c r="H63" s="299"/>
      <c r="I63" s="112">
        <v>45444</v>
      </c>
      <c r="J63" s="103" t="s">
        <v>262</v>
      </c>
      <c r="K63" s="103" t="s">
        <v>289</v>
      </c>
      <c r="L63" s="108">
        <v>45627</v>
      </c>
      <c r="M63" s="1" t="str">
        <f t="shared" ca="1" si="22"/>
        <v>VENCIDO</v>
      </c>
      <c r="N63" s="84"/>
      <c r="O63" s="112">
        <v>44197</v>
      </c>
      <c r="P63" s="103" t="s">
        <v>267</v>
      </c>
      <c r="Q63" s="103" t="s">
        <v>290</v>
      </c>
      <c r="R63" s="108">
        <v>45627</v>
      </c>
      <c r="S63" s="82" t="str">
        <f t="shared" ca="1" si="23"/>
        <v>VENCIDO</v>
      </c>
      <c r="T63" s="84"/>
      <c r="U63" s="112">
        <v>44197</v>
      </c>
      <c r="V63" s="103" t="s">
        <v>267</v>
      </c>
      <c r="W63" s="103" t="s">
        <v>291</v>
      </c>
      <c r="X63" s="108">
        <v>45627</v>
      </c>
      <c r="Y63" s="82" t="str">
        <f t="shared" ca="1" si="24"/>
        <v>VENCIDO</v>
      </c>
      <c r="Z63" s="84"/>
      <c r="AA63" s="108">
        <v>45444</v>
      </c>
      <c r="AB63" s="106" t="s">
        <v>299</v>
      </c>
      <c r="AC63" s="72"/>
      <c r="AD63" s="108">
        <v>45627</v>
      </c>
      <c r="AE63" s="82" t="str">
        <f t="shared" ca="1" si="25"/>
        <v>VENCIDO</v>
      </c>
      <c r="AF63" s="84"/>
      <c r="AG63" s="108">
        <v>45444</v>
      </c>
      <c r="AH63" s="106" t="s">
        <v>262</v>
      </c>
      <c r="AI63" s="72"/>
      <c r="AJ63" s="108">
        <v>45627</v>
      </c>
      <c r="AK63" s="82" t="str">
        <f t="shared" ca="1" si="26"/>
        <v>VENCIDO</v>
      </c>
      <c r="AL63" s="72"/>
      <c r="AM63" s="72"/>
      <c r="AN63" s="72"/>
      <c r="AO63" s="74"/>
      <c r="AP63" s="82" t="str">
        <f t="shared" ca="1" si="27"/>
        <v>VENCIDO</v>
      </c>
    </row>
    <row r="64" spans="1:42" x14ac:dyDescent="0.3">
      <c r="A64" s="70">
        <v>246</v>
      </c>
      <c r="B64" s="71" t="s">
        <v>219</v>
      </c>
      <c r="C64" s="156" t="s">
        <v>325</v>
      </c>
      <c r="D64" s="103" t="s">
        <v>279</v>
      </c>
      <c r="E64" s="72"/>
      <c r="F64" s="160">
        <v>45644</v>
      </c>
      <c r="G64" s="1" t="str">
        <f t="shared" ca="1" si="21"/>
        <v>VENCIDO</v>
      </c>
      <c r="H64" s="299"/>
      <c r="I64" s="72" t="s">
        <v>325</v>
      </c>
      <c r="J64" s="157" t="s">
        <v>279</v>
      </c>
      <c r="K64" s="72"/>
      <c r="L64" s="74">
        <v>45644</v>
      </c>
      <c r="M64" s="1" t="str">
        <f t="shared" ca="1" si="22"/>
        <v>VENCIDO</v>
      </c>
      <c r="N64" s="84"/>
      <c r="O64" s="72"/>
      <c r="P64" s="72"/>
      <c r="Q64" s="72"/>
      <c r="R64" s="72"/>
      <c r="S64" s="82" t="str">
        <f t="shared" ca="1" si="23"/>
        <v>VENCIDO</v>
      </c>
      <c r="T64" s="84"/>
      <c r="U64" s="72"/>
      <c r="V64" s="72"/>
      <c r="W64" s="72"/>
      <c r="X64" s="72"/>
      <c r="Y64" s="82" t="str">
        <f t="shared" ca="1" si="24"/>
        <v>VENCIDO</v>
      </c>
      <c r="Z64" s="84"/>
      <c r="AA64" s="72"/>
      <c r="AB64" s="72"/>
      <c r="AC64" s="72"/>
      <c r="AD64" s="72"/>
      <c r="AE64" s="82" t="str">
        <f t="shared" ca="1" si="25"/>
        <v>VENCIDO</v>
      </c>
      <c r="AF64" s="84"/>
      <c r="AG64" s="72"/>
      <c r="AH64" s="72"/>
      <c r="AI64" s="72"/>
      <c r="AJ64" s="72"/>
      <c r="AK64" s="82" t="str">
        <f t="shared" ca="1" si="26"/>
        <v>VENCIDO</v>
      </c>
      <c r="AL64" s="72"/>
      <c r="AM64" s="72"/>
      <c r="AN64" s="72"/>
      <c r="AO64" s="74"/>
      <c r="AP64" s="82" t="str">
        <f t="shared" ca="1" si="27"/>
        <v>VENCIDO</v>
      </c>
    </row>
    <row r="65" spans="1:42" x14ac:dyDescent="0.3">
      <c r="A65" s="39">
        <v>247</v>
      </c>
      <c r="B65" s="3" t="s">
        <v>401</v>
      </c>
      <c r="C65" s="72"/>
      <c r="D65" s="72"/>
      <c r="E65" s="72"/>
      <c r="F65" s="297"/>
      <c r="G65" s="85"/>
      <c r="H65" s="299"/>
      <c r="I65" s="72"/>
      <c r="J65" s="72"/>
      <c r="K65" s="72"/>
      <c r="L65" s="72"/>
      <c r="M65" s="85"/>
      <c r="N65" s="84"/>
      <c r="O65" s="72"/>
      <c r="P65" s="72"/>
      <c r="Q65" s="72"/>
      <c r="R65" s="72"/>
      <c r="S65" s="298"/>
      <c r="T65" s="84"/>
      <c r="U65" s="72"/>
      <c r="V65" s="72"/>
      <c r="W65" s="72"/>
      <c r="X65" s="72"/>
      <c r="Y65" s="298"/>
      <c r="Z65" s="84"/>
      <c r="AA65" s="72"/>
      <c r="AB65" s="72"/>
      <c r="AC65" s="72"/>
      <c r="AD65" s="72"/>
      <c r="AE65" s="298"/>
      <c r="AF65" s="84"/>
      <c r="AG65" s="72"/>
      <c r="AH65" s="72"/>
      <c r="AI65" s="72"/>
      <c r="AJ65" s="72"/>
      <c r="AK65" s="298"/>
      <c r="AL65" s="72"/>
      <c r="AM65" s="72"/>
      <c r="AN65" s="72"/>
      <c r="AO65" s="72"/>
      <c r="AP65" s="85"/>
    </row>
    <row r="66" spans="1:42" x14ac:dyDescent="0.3">
      <c r="A66" s="70">
        <v>248</v>
      </c>
      <c r="B66" s="71" t="s">
        <v>220</v>
      </c>
      <c r="C66" s="103" t="s">
        <v>325</v>
      </c>
      <c r="D66" s="103" t="s">
        <v>279</v>
      </c>
      <c r="E66" s="103">
        <v>1304302393</v>
      </c>
      <c r="F66" s="73"/>
      <c r="G66" s="1" t="str">
        <f ca="1">IF(F66&lt;TODAY(),"VENCIDO",IF(F66=TODAY(),"VENCE HOY",IF(F66&gt;TODAY(),"")))</f>
        <v>VENCIDO</v>
      </c>
      <c r="H66" s="299"/>
      <c r="I66" s="103" t="s">
        <v>325</v>
      </c>
      <c r="J66" s="103" t="s">
        <v>279</v>
      </c>
      <c r="K66" s="103">
        <v>1304211682</v>
      </c>
      <c r="L66" s="72"/>
      <c r="M66" s="1" t="str">
        <f ca="1">IF(L66&lt;TODAY(),"VENCIDO",IF(L66=TODAY(),"VENCE HOY",IF(L66&gt;TODAY(),"")))</f>
        <v>VENCIDO</v>
      </c>
      <c r="N66" s="84"/>
      <c r="O66" s="103">
        <v>2023</v>
      </c>
      <c r="P66" s="103" t="s">
        <v>279</v>
      </c>
      <c r="Q66" s="103">
        <v>1304313906</v>
      </c>
      <c r="R66" s="72"/>
      <c r="S66" s="82" t="str">
        <f ca="1">IF(R66&lt;TODAY(),"VENCIDO",IF(R66=TODAY(),"VENCE HOY",IF(R66&gt;TODAY(),"")))</f>
        <v>VENCIDO</v>
      </c>
      <c r="T66" s="84"/>
      <c r="U66" s="103">
        <v>2023</v>
      </c>
      <c r="V66" s="103" t="s">
        <v>279</v>
      </c>
      <c r="W66" s="103">
        <v>1304102398</v>
      </c>
      <c r="X66" s="72"/>
      <c r="Y66" s="82" t="str">
        <f ca="1">IF(X66&lt;TODAY(),"VENCIDO",IF(X66=TODAY(),"VENCE HOY",IF(X66&gt;TODAY(),"")))</f>
        <v>VENCIDO</v>
      </c>
      <c r="Z66" s="84"/>
      <c r="AA66" s="106">
        <v>2023</v>
      </c>
      <c r="AB66" s="103" t="s">
        <v>279</v>
      </c>
      <c r="AC66" s="103">
        <v>1304216117</v>
      </c>
      <c r="AD66" s="72"/>
      <c r="AE66" s="82" t="str">
        <f ca="1">IF(AD66&lt;TODAY(),"VENCIDO",IF(AD66=TODAY(),"VENCE HOY",IF(AD66&gt;TODAY(),"")))</f>
        <v>VENCIDO</v>
      </c>
      <c r="AF66" s="84"/>
      <c r="AG66" s="103">
        <v>2023</v>
      </c>
      <c r="AH66" s="103" t="s">
        <v>279</v>
      </c>
      <c r="AI66" s="103">
        <v>1304209304</v>
      </c>
      <c r="AJ66" s="72"/>
      <c r="AK66" s="82" t="str">
        <f ca="1">IF(AJ66&lt;TODAY(),"VENCIDO",IF(AJ66=TODAY(),"VENCE HOY",IF(AJ66&gt;TODAY(),"")))</f>
        <v>VENCIDO</v>
      </c>
      <c r="AL66" s="72"/>
      <c r="AM66" s="72"/>
      <c r="AN66" s="72"/>
      <c r="AO66" s="74"/>
      <c r="AP66" s="82" t="str">
        <f ca="1">IF(AO66&lt;TODAY(),"VENCIDO",IF(AO66=TODAY(),"VENCE HOY",IF(AO66&gt;TODAY(),"")))</f>
        <v>VENCIDO</v>
      </c>
    </row>
    <row r="67" spans="1:42" x14ac:dyDescent="0.3">
      <c r="A67" s="39">
        <v>249</v>
      </c>
      <c r="B67" s="3" t="s">
        <v>402</v>
      </c>
      <c r="C67" s="72"/>
      <c r="D67" s="72"/>
      <c r="E67" s="72"/>
      <c r="F67" s="297"/>
      <c r="G67" s="85"/>
      <c r="H67" s="299"/>
      <c r="I67" s="72"/>
      <c r="J67" s="72"/>
      <c r="K67" s="72"/>
      <c r="L67" s="72"/>
      <c r="M67" s="85"/>
      <c r="N67" s="84"/>
      <c r="O67" s="72"/>
      <c r="P67" s="72"/>
      <c r="Q67" s="72"/>
      <c r="R67" s="72"/>
      <c r="S67" s="298"/>
      <c r="T67" s="84"/>
      <c r="U67" s="72"/>
      <c r="V67" s="72"/>
      <c r="W67" s="72"/>
      <c r="X67" s="72"/>
      <c r="Y67" s="298"/>
      <c r="Z67" s="84"/>
      <c r="AA67" s="72"/>
      <c r="AB67" s="72"/>
      <c r="AC67" s="72"/>
      <c r="AD67" s="72"/>
      <c r="AE67" s="298"/>
      <c r="AF67" s="84"/>
      <c r="AG67" s="72"/>
      <c r="AH67" s="72"/>
      <c r="AI67" s="72"/>
      <c r="AJ67" s="72"/>
      <c r="AK67" s="298"/>
      <c r="AL67" s="72"/>
      <c r="AM67" s="72"/>
      <c r="AN67" s="72"/>
      <c r="AO67" s="72"/>
      <c r="AP67" s="85"/>
    </row>
    <row r="68" spans="1:42" x14ac:dyDescent="0.3">
      <c r="A68" s="39">
        <v>250</v>
      </c>
      <c r="B68" s="3" t="s">
        <v>403</v>
      </c>
      <c r="C68" s="72"/>
      <c r="D68" s="72"/>
      <c r="E68" s="72"/>
      <c r="F68" s="297"/>
      <c r="G68" s="85"/>
      <c r="H68" s="299"/>
      <c r="I68" s="72"/>
      <c r="J68" s="72"/>
      <c r="K68" s="72"/>
      <c r="L68" s="72"/>
      <c r="M68" s="85"/>
      <c r="N68" s="84"/>
      <c r="O68" s="72"/>
      <c r="P68" s="72"/>
      <c r="Q68" s="72"/>
      <c r="R68" s="72"/>
      <c r="S68" s="298"/>
      <c r="T68" s="84"/>
      <c r="U68" s="72"/>
      <c r="V68" s="72"/>
      <c r="W68" s="72"/>
      <c r="X68" s="72"/>
      <c r="Y68" s="298"/>
      <c r="Z68" s="84"/>
      <c r="AA68" s="72"/>
      <c r="AB68" s="72"/>
      <c r="AC68" s="72"/>
      <c r="AD68" s="72"/>
      <c r="AE68" s="298"/>
      <c r="AF68" s="84"/>
      <c r="AG68" s="72"/>
      <c r="AH68" s="72"/>
      <c r="AI68" s="72"/>
      <c r="AJ68" s="72"/>
      <c r="AK68" s="298"/>
      <c r="AL68" s="72"/>
      <c r="AM68" s="72"/>
      <c r="AN68" s="72"/>
      <c r="AO68" s="72"/>
      <c r="AP68" s="85"/>
    </row>
    <row r="69" spans="1:42" x14ac:dyDescent="0.3">
      <c r="A69" s="39">
        <v>251</v>
      </c>
      <c r="B69" s="3" t="s">
        <v>404</v>
      </c>
      <c r="C69" s="72"/>
      <c r="D69" s="72"/>
      <c r="E69" s="72"/>
      <c r="F69" s="297"/>
      <c r="G69" s="85"/>
      <c r="H69" s="299"/>
      <c r="I69" s="72"/>
      <c r="J69" s="72"/>
      <c r="K69" s="72"/>
      <c r="L69" s="72"/>
      <c r="M69" s="85"/>
      <c r="N69" s="84"/>
      <c r="O69" s="72"/>
      <c r="P69" s="72"/>
      <c r="Q69" s="72"/>
      <c r="R69" s="72"/>
      <c r="S69" s="298"/>
      <c r="T69" s="84"/>
      <c r="U69" s="72"/>
      <c r="V69" s="72"/>
      <c r="W69" s="72"/>
      <c r="X69" s="72"/>
      <c r="Y69" s="298"/>
      <c r="Z69" s="84"/>
      <c r="AA69" s="72"/>
      <c r="AB69" s="72"/>
      <c r="AC69" s="72"/>
      <c r="AD69" s="72"/>
      <c r="AE69" s="298"/>
      <c r="AF69" s="84"/>
      <c r="AG69" s="72"/>
      <c r="AH69" s="72"/>
      <c r="AI69" s="72"/>
      <c r="AJ69" s="72"/>
      <c r="AK69" s="298"/>
      <c r="AL69" s="72"/>
      <c r="AM69" s="72"/>
      <c r="AN69" s="72"/>
      <c r="AO69" s="72"/>
      <c r="AP69" s="85"/>
    </row>
    <row r="70" spans="1:42" x14ac:dyDescent="0.3">
      <c r="A70" s="70">
        <v>260</v>
      </c>
      <c r="B70" s="71" t="s">
        <v>221</v>
      </c>
      <c r="C70" s="72"/>
      <c r="D70" s="72"/>
      <c r="E70" s="72"/>
      <c r="F70" s="73"/>
      <c r="G70" s="1" t="str">
        <f t="shared" ref="G70" ca="1" si="28">IF(F70&lt;TODAY(),"VENCIDO",IF(F70=TODAY(),"VENCE HOY",IF(F70&gt;TODAY(),"")))</f>
        <v>VENCIDO</v>
      </c>
      <c r="H70" s="299"/>
      <c r="I70" s="72"/>
      <c r="J70" s="72"/>
      <c r="K70" s="72"/>
      <c r="L70" s="72"/>
      <c r="M70" s="1" t="str">
        <f t="shared" ref="M70" ca="1" si="29">IF(L70&lt;TODAY(),"VENCIDO",IF(L70=TODAY(),"VENCE HOY",IF(L70&gt;TODAY(),"")))</f>
        <v>VENCIDO</v>
      </c>
      <c r="N70" s="84"/>
      <c r="O70" s="72"/>
      <c r="P70" s="72"/>
      <c r="Q70" s="72"/>
      <c r="R70" s="72"/>
      <c r="S70" s="82" t="str">
        <f t="shared" ref="S70" ca="1" si="30">IF(R70&lt;TODAY(),"VENCIDO",IF(R70=TODAY(),"VENCE HOY",IF(R70&gt;TODAY(),"")))</f>
        <v>VENCIDO</v>
      </c>
      <c r="T70" s="84"/>
      <c r="U70" s="72"/>
      <c r="V70" s="72"/>
      <c r="W70" s="72"/>
      <c r="X70" s="72"/>
      <c r="Y70" s="82" t="str">
        <f t="shared" ref="Y70" ca="1" si="31">IF(X70&lt;TODAY(),"VENCIDO",IF(X70=TODAY(),"VENCE HOY",IF(X70&gt;TODAY(),"")))</f>
        <v>VENCIDO</v>
      </c>
      <c r="Z70" s="84"/>
      <c r="AA70" s="72"/>
      <c r="AB70" s="72"/>
      <c r="AC70" s="72"/>
      <c r="AD70" s="72"/>
      <c r="AE70" s="82" t="str">
        <f t="shared" ref="AE70" ca="1" si="32">IF(AD70&lt;TODAY(),"VENCIDO",IF(AD70=TODAY(),"VENCE HOY",IF(AD70&gt;TODAY(),"")))</f>
        <v>VENCIDO</v>
      </c>
      <c r="AF70" s="84"/>
      <c r="AG70" s="72"/>
      <c r="AH70" s="72"/>
      <c r="AI70" s="72"/>
      <c r="AJ70" s="72"/>
      <c r="AK70" s="82" t="str">
        <f t="shared" ref="AK70" ca="1" si="33">IF(AJ70&lt;TODAY(),"VENCIDO",IF(AJ70=TODAY(),"VENCE HOY",IF(AJ70&gt;TODAY(),"")))</f>
        <v>VENCIDO</v>
      </c>
      <c r="AL70" s="72"/>
      <c r="AM70" s="72"/>
      <c r="AN70" s="72"/>
      <c r="AO70" s="74"/>
      <c r="AP70" s="82" t="str">
        <f ca="1">IF(AO70&lt;TODAY(),"VENCIDO",IF(AO70=TODAY(),"VENCE HOY",IF(AO70&gt;TODAY(),"")))</f>
        <v>VENCIDO</v>
      </c>
    </row>
    <row r="71" spans="1:42" ht="16.5" customHeight="1" x14ac:dyDescent="0.3">
      <c r="A71" s="75" t="s">
        <v>243</v>
      </c>
      <c r="B71" s="75" t="s">
        <v>244</v>
      </c>
      <c r="C71" s="108">
        <v>45352</v>
      </c>
      <c r="D71" s="72" t="s">
        <v>262</v>
      </c>
      <c r="E71" s="72" t="s">
        <v>356</v>
      </c>
      <c r="F71" s="73">
        <v>45711</v>
      </c>
      <c r="G71" s="1" t="str">
        <f ca="1">IF(F71&lt;TODAY(),"VENCIDO",IF(F71=TODAY(),"VENCE HOY",IF(F71&gt;TODAY(),"")))</f>
        <v>VENCIDO</v>
      </c>
      <c r="H71" s="299"/>
      <c r="I71" s="108">
        <v>45413</v>
      </c>
      <c r="J71" s="72" t="s">
        <v>262</v>
      </c>
      <c r="K71" s="72" t="s">
        <v>357</v>
      </c>
      <c r="L71" s="74">
        <v>45711</v>
      </c>
      <c r="M71" s="1" t="str">
        <f ca="1">IF(L71&lt;TODAY(),"VENCIDO",IF(L71=TODAY(),"VENCE HOY",IF(L71&gt;TODAY(),"")))</f>
        <v>VENCIDO</v>
      </c>
      <c r="N71" s="84"/>
      <c r="O71" s="108">
        <v>45413</v>
      </c>
      <c r="P71" s="72" t="s">
        <v>262</v>
      </c>
      <c r="Q71" s="72" t="s">
        <v>358</v>
      </c>
      <c r="R71" s="74">
        <v>45711</v>
      </c>
      <c r="S71" s="82" t="str">
        <f ca="1">IF(R71&lt;TODAY(),"VENCIDO",IF(R71=TODAY(),"VENCE HOY",IF(R71&gt;TODAY(),"")))</f>
        <v>VENCIDO</v>
      </c>
      <c r="T71" s="84"/>
      <c r="U71" s="108">
        <v>45383</v>
      </c>
      <c r="V71" s="72" t="s">
        <v>262</v>
      </c>
      <c r="W71" s="72" t="s">
        <v>359</v>
      </c>
      <c r="X71" s="74">
        <v>45711</v>
      </c>
      <c r="Y71" s="82" t="str">
        <f ca="1">IF(X71&lt;TODAY(),"VENCIDO",IF(X71=TODAY(),"VENCE HOY",IF(X71&gt;TODAY(),"")))</f>
        <v>VENCIDO</v>
      </c>
      <c r="Z71" s="84"/>
      <c r="AA71" s="108">
        <v>45383</v>
      </c>
      <c r="AB71" s="72" t="s">
        <v>262</v>
      </c>
      <c r="AC71" s="72" t="s">
        <v>360</v>
      </c>
      <c r="AD71" s="74">
        <v>45711</v>
      </c>
      <c r="AE71" s="82" t="str">
        <f ca="1">IF(AD71&lt;TODAY(),"VENCIDO",IF(AD71=TODAY(),"VENCE HOY",IF(AD71&gt;TODAY(),"")))</f>
        <v>VENCIDO</v>
      </c>
      <c r="AF71" s="84"/>
      <c r="AG71" s="108">
        <v>45413</v>
      </c>
      <c r="AH71" s="72" t="s">
        <v>262</v>
      </c>
      <c r="AI71" s="72" t="s">
        <v>361</v>
      </c>
      <c r="AJ71" s="74">
        <v>45711</v>
      </c>
      <c r="AK71" s="82" t="str">
        <f ca="1">IF(AJ71&lt;TODAY(),"VENCIDO",IF(AJ71=TODAY(),"VENCE HOY",IF(AJ71&gt;TODAY(),"")))</f>
        <v>VENCIDO</v>
      </c>
      <c r="AL71" s="108">
        <v>45383</v>
      </c>
      <c r="AM71" s="72" t="s">
        <v>262</v>
      </c>
      <c r="AN71" s="72" t="s">
        <v>362</v>
      </c>
      <c r="AO71" s="74">
        <v>45711</v>
      </c>
      <c r="AP71" s="82" t="str">
        <f ca="1">IF(AO71&lt;TODAY(),"VENCIDO",IF(AO71=TODAY(),"VENCE HOY",IF(AO71&gt;TODAY(),"")))</f>
        <v>VENCIDO</v>
      </c>
    </row>
  </sheetData>
  <mergeCells count="11">
    <mergeCell ref="AA1:AD1"/>
    <mergeCell ref="AG1:AJ1"/>
    <mergeCell ref="AL1:AO1"/>
    <mergeCell ref="AA2:AD2"/>
    <mergeCell ref="AG2:AJ2"/>
    <mergeCell ref="C1:F1"/>
    <mergeCell ref="C2:F2"/>
    <mergeCell ref="O1:R1"/>
    <mergeCell ref="O2:R2"/>
    <mergeCell ref="U1:X1"/>
    <mergeCell ref="U2:X2"/>
  </mergeCells>
  <conditionalFormatting sqref="G5:G16 G18:G19 G22:G34 G37:G38 G41:G43 G46:G57 G59:G64 G66 G70:G71">
    <cfRule type="expression" dxfId="9" priority="9">
      <formula>$G5="VENCIDO"</formula>
    </cfRule>
  </conditionalFormatting>
  <conditionalFormatting sqref="G5:G16 M5:M16 S5:S16 Y5:Y16 AE5:AE16 AK5:AK16 G18:G19 M18:M19 S18:S19 Y18:Y19 AE18:AE19 AK18:AK19 G22:G34 M22:M34 S22:S34 Y22:Y34 AE22:AE34 AK22:AK34 G37:G38 M37:M38 S37:S38 Y37:Y38 AE37:AE38 AK37:AK38 G41:G43 M41:M43 S41:S43 Y41:Y43 AE41:AE43 AK41:AK43 G46:G57 M46:M57 S46:S57 Y46:Y57 AE46:AE57 AK46:AK57 G59:G64 M59:M64 S59:S64 Y59:Y64 AE59:AE64 AK59:AK64 G66 M66 S66 Y66 AE66 AK66 G70:G71 M70:M71 S70:S71 Y70:Y71 AE70:AE71 AK70:AK71">
    <cfRule type="expression" dxfId="8" priority="16">
      <formula>$G5="VENCIDA"</formula>
    </cfRule>
  </conditionalFormatting>
  <conditionalFormatting sqref="M5:M16 M18:M19 M22:M34 M37:M38 M41:M43 M46:M57 M59:M64 M66 M70:M71">
    <cfRule type="expression" dxfId="7" priority="7">
      <formula>$M5="VENCIDO"</formula>
    </cfRule>
  </conditionalFormatting>
  <conditionalFormatting sqref="S5:S16 S18:S19 S22:S34 S37:S38 S41:S43 S46:S57 S59:S64 S66 S70:S71">
    <cfRule type="expression" dxfId="6" priority="6">
      <formula>$S5="VENCIDO"</formula>
    </cfRule>
  </conditionalFormatting>
  <conditionalFormatting sqref="Y5:Y16 Y18:Y19 Y22:Y34 Y37:Y38 Y41:Y43 Y46:Y57 Y59:Y64 Y66 Y70:Y71">
    <cfRule type="expression" dxfId="5" priority="5">
      <formula>$Y5="VENCIDO"</formula>
    </cfRule>
  </conditionalFormatting>
  <conditionalFormatting sqref="AE5:AE16 AE18:AE19 AE22:AE34 AE37:AE38 AE41:AE43 AE46:AE57 AE59:AE64 AE66 AE70:AE71">
    <cfRule type="expression" dxfId="4" priority="4">
      <formula>$AE5="VENCIDO"</formula>
    </cfRule>
  </conditionalFormatting>
  <conditionalFormatting sqref="AK5:AK16 AK18:AK19 AK22:AK34 AK37:AK38 AK41:AK43 AK46:AK57 AK59:AK64 AK66 AK70:AK71">
    <cfRule type="expression" dxfId="3" priority="3">
      <formula>$AK5="VENCIDO"</formula>
    </cfRule>
  </conditionalFormatting>
  <conditionalFormatting sqref="AP5:AP16 AP18:AP19 AP22:AP34 AP37:AP38 AP41:AP43 AP46:AP57 AP59:AP64 AP66 AP70:AP71">
    <cfRule type="expression" dxfId="2" priority="1">
      <formula>$AP5="VENCIDO"</formula>
    </cfRule>
    <cfRule type="expression" dxfId="1" priority="2">
      <formula>$AD5="VENCIDO"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I70"/>
  <sheetViews>
    <sheetView topLeftCell="A37" zoomScale="60" zoomScaleNormal="60" workbookViewId="0">
      <selection activeCell="D32" sqref="D32"/>
    </sheetView>
  </sheetViews>
  <sheetFormatPr baseColWidth="10" defaultColWidth="11.42578125" defaultRowHeight="28.5" customHeight="1" x14ac:dyDescent="0.35"/>
  <cols>
    <col min="1" max="1" width="11.42578125" style="50"/>
    <col min="2" max="2" width="15.28515625" style="50" customWidth="1"/>
    <col min="3" max="3" width="14.28515625" style="61" customWidth="1"/>
    <col min="4" max="4" width="15.85546875" style="115" bestFit="1" customWidth="1"/>
    <col min="5" max="5" width="24" style="115" customWidth="1"/>
    <col min="6" max="6" width="28.7109375" style="115" bestFit="1" customWidth="1"/>
    <col min="7" max="7" width="11.42578125" style="115"/>
    <col min="8" max="8" width="24.7109375" style="115" bestFit="1" customWidth="1"/>
    <col min="9" max="9" width="24.7109375" style="50" bestFit="1" customWidth="1"/>
    <col min="10" max="16384" width="11.42578125" style="50"/>
  </cols>
  <sheetData>
    <row r="1" spans="1:9" ht="28.5" customHeight="1" x14ac:dyDescent="0.35">
      <c r="A1" s="57" t="s">
        <v>44</v>
      </c>
      <c r="B1" s="57"/>
      <c r="C1" s="58"/>
      <c r="D1" s="113"/>
      <c r="E1" s="113"/>
      <c r="F1" s="113"/>
      <c r="G1" s="113"/>
      <c r="H1" s="113"/>
      <c r="I1" s="57"/>
    </row>
    <row r="2" spans="1:9" s="52" customFormat="1" ht="60.75" x14ac:dyDescent="0.25">
      <c r="A2" s="53" t="s">
        <v>0</v>
      </c>
      <c r="B2" s="54" t="s">
        <v>1</v>
      </c>
      <c r="C2" s="59" t="s">
        <v>52</v>
      </c>
      <c r="D2" s="53" t="s">
        <v>132</v>
      </c>
      <c r="E2" s="55" t="s">
        <v>53</v>
      </c>
      <c r="F2" s="56" t="s">
        <v>23</v>
      </c>
      <c r="G2" s="56" t="s">
        <v>24</v>
      </c>
      <c r="H2" s="56" t="s">
        <v>25</v>
      </c>
      <c r="I2" s="56" t="s">
        <v>26</v>
      </c>
    </row>
    <row r="3" spans="1:9" ht="28.5" customHeight="1" x14ac:dyDescent="0.35">
      <c r="A3" s="189">
        <v>105</v>
      </c>
      <c r="B3" s="87" t="s">
        <v>394</v>
      </c>
      <c r="C3" s="303"/>
      <c r="D3" s="117"/>
      <c r="E3" s="117"/>
      <c r="F3" s="117"/>
      <c r="G3" s="117"/>
      <c r="H3" s="117"/>
      <c r="I3" s="51"/>
    </row>
    <row r="4" spans="1:9" ht="28.5" customHeight="1" x14ac:dyDescent="0.35">
      <c r="A4" s="49">
        <v>125</v>
      </c>
      <c r="B4" s="48" t="s">
        <v>145</v>
      </c>
      <c r="C4" s="60" t="str">
        <f t="shared" ref="C4:C15" ca="1" si="0">IF(E4&lt;TODAY(),"VENCIDA",IF(E4&gt;TODAY(),""))</f>
        <v>VENCIDA</v>
      </c>
      <c r="D4" s="114"/>
      <c r="E4" s="116"/>
      <c r="F4" s="117">
        <v>700261</v>
      </c>
      <c r="G4" s="117">
        <v>1100</v>
      </c>
      <c r="H4" s="117" t="s">
        <v>301</v>
      </c>
      <c r="I4" s="51"/>
    </row>
    <row r="5" spans="1:9" ht="28.5" customHeight="1" x14ac:dyDescent="0.35">
      <c r="A5" s="46">
        <v>130</v>
      </c>
      <c r="B5" s="47" t="s">
        <v>146</v>
      </c>
      <c r="C5" s="60" t="str">
        <f t="shared" ca="1" si="0"/>
        <v>VENCIDA</v>
      </c>
      <c r="D5" s="114">
        <v>45687</v>
      </c>
      <c r="E5" s="116">
        <v>46052</v>
      </c>
      <c r="F5" s="117" t="s">
        <v>324</v>
      </c>
      <c r="G5" s="117">
        <v>1250</v>
      </c>
      <c r="H5" s="117" t="s">
        <v>304</v>
      </c>
      <c r="I5" s="88">
        <v>467701</v>
      </c>
    </row>
    <row r="6" spans="1:9" ht="28.5" customHeight="1" x14ac:dyDescent="0.35">
      <c r="A6" s="49">
        <v>131</v>
      </c>
      <c r="B6" s="48" t="s">
        <v>147</v>
      </c>
      <c r="C6" s="60" t="str">
        <f t="shared" ca="1" si="0"/>
        <v>VENCIDA</v>
      </c>
      <c r="D6" s="114"/>
      <c r="E6" s="116"/>
      <c r="F6" s="117"/>
      <c r="G6" s="117"/>
      <c r="H6" s="117"/>
      <c r="I6" s="51"/>
    </row>
    <row r="7" spans="1:9" ht="28.5" customHeight="1" x14ac:dyDescent="0.35">
      <c r="A7" s="49">
        <v>132</v>
      </c>
      <c r="B7" s="48" t="s">
        <v>148</v>
      </c>
      <c r="C7" s="60" t="str">
        <f t="shared" ca="1" si="0"/>
        <v>VENCIDA</v>
      </c>
      <c r="D7" s="114"/>
      <c r="E7" s="116"/>
      <c r="F7" s="117"/>
      <c r="G7" s="117"/>
      <c r="H7" s="117"/>
      <c r="I7" s="51"/>
    </row>
    <row r="8" spans="1:9" ht="28.5" customHeight="1" x14ac:dyDescent="0.35">
      <c r="A8" s="49">
        <v>133</v>
      </c>
      <c r="B8" s="48" t="s">
        <v>149</v>
      </c>
      <c r="C8" s="60" t="str">
        <f t="shared" ca="1" si="0"/>
        <v>VENCIDA</v>
      </c>
      <c r="D8" s="114"/>
      <c r="E8" s="116"/>
      <c r="F8" s="117"/>
      <c r="G8" s="117"/>
      <c r="H8" s="117"/>
      <c r="I8" s="51"/>
    </row>
    <row r="9" spans="1:9" ht="28.5" customHeight="1" x14ac:dyDescent="0.35">
      <c r="A9" s="49">
        <v>134</v>
      </c>
      <c r="B9" s="48" t="s">
        <v>150</v>
      </c>
      <c r="C9" s="60" t="str">
        <f t="shared" ca="1" si="0"/>
        <v>VENCIDA</v>
      </c>
      <c r="D9" s="114">
        <v>45616</v>
      </c>
      <c r="E9" s="116">
        <v>45981</v>
      </c>
      <c r="F9" s="117" t="s">
        <v>323</v>
      </c>
      <c r="G9" s="117">
        <v>1250</v>
      </c>
      <c r="H9" s="117" t="s">
        <v>304</v>
      </c>
      <c r="I9" s="88">
        <v>379643</v>
      </c>
    </row>
    <row r="10" spans="1:9" ht="28.5" customHeight="1" x14ac:dyDescent="0.35">
      <c r="A10" s="49">
        <v>135</v>
      </c>
      <c r="B10" s="48" t="s">
        <v>151</v>
      </c>
      <c r="C10" s="60" t="str">
        <f t="shared" ca="1" si="0"/>
        <v>VENCIDA</v>
      </c>
      <c r="D10" s="114"/>
      <c r="E10" s="116"/>
      <c r="F10" s="117"/>
      <c r="G10" s="117"/>
      <c r="H10" s="117"/>
      <c r="I10" s="51"/>
    </row>
    <row r="11" spans="1:9" ht="28.5" customHeight="1" x14ac:dyDescent="0.35">
      <c r="A11" s="49">
        <v>136</v>
      </c>
      <c r="B11" s="48" t="s">
        <v>152</v>
      </c>
      <c r="C11" s="60" t="str">
        <f t="shared" ca="1" si="0"/>
        <v>VENCIDA</v>
      </c>
      <c r="D11" s="114"/>
      <c r="E11" s="116"/>
      <c r="F11" s="117"/>
      <c r="G11" s="117"/>
      <c r="H11" s="117"/>
      <c r="I11" s="51"/>
    </row>
    <row r="12" spans="1:9" ht="28.5" customHeight="1" x14ac:dyDescent="0.35">
      <c r="A12" s="49">
        <v>137</v>
      </c>
      <c r="B12" s="48" t="s">
        <v>153</v>
      </c>
      <c r="C12" s="60" t="str">
        <f t="shared" ca="1" si="0"/>
        <v>VENCIDA</v>
      </c>
      <c r="D12" s="114"/>
      <c r="E12" s="116"/>
      <c r="F12" s="117"/>
      <c r="G12" s="117"/>
      <c r="H12" s="117"/>
      <c r="I12" s="51"/>
    </row>
    <row r="13" spans="1:9" ht="28.5" customHeight="1" x14ac:dyDescent="0.35">
      <c r="A13" s="49">
        <v>138</v>
      </c>
      <c r="B13" s="48" t="s">
        <v>154</v>
      </c>
      <c r="C13" s="60" t="str">
        <f t="shared" ca="1" si="0"/>
        <v>VENCIDA</v>
      </c>
      <c r="D13" s="114">
        <v>45687</v>
      </c>
      <c r="E13" s="116">
        <v>46052</v>
      </c>
      <c r="F13" s="117" t="s">
        <v>345</v>
      </c>
      <c r="G13" s="117">
        <v>1250</v>
      </c>
      <c r="H13" s="117" t="s">
        <v>261</v>
      </c>
      <c r="I13" s="88">
        <v>250943</v>
      </c>
    </row>
    <row r="14" spans="1:9" ht="28.5" customHeight="1" x14ac:dyDescent="0.35">
      <c r="A14" s="46">
        <v>139</v>
      </c>
      <c r="B14" s="47" t="s">
        <v>155</v>
      </c>
      <c r="C14" s="60" t="str">
        <f t="shared" ca="1" si="0"/>
        <v>VENCIDA</v>
      </c>
      <c r="D14" s="114"/>
      <c r="E14" s="116"/>
      <c r="F14" s="117"/>
      <c r="G14" s="117"/>
      <c r="H14" s="117"/>
      <c r="I14" s="51"/>
    </row>
    <row r="15" spans="1:9" ht="28.5" customHeight="1" x14ac:dyDescent="0.35">
      <c r="A15" s="49">
        <v>142</v>
      </c>
      <c r="B15" s="48" t="s">
        <v>156</v>
      </c>
      <c r="C15" s="60" t="str">
        <f t="shared" ca="1" si="0"/>
        <v>VENCIDA</v>
      </c>
      <c r="D15" s="114"/>
      <c r="E15" s="116"/>
      <c r="F15" s="117"/>
      <c r="G15" s="117"/>
      <c r="H15" s="117"/>
      <c r="I15" s="51"/>
    </row>
    <row r="16" spans="1:9" ht="28.5" customHeight="1" x14ac:dyDescent="0.35">
      <c r="A16" s="86">
        <v>144</v>
      </c>
      <c r="B16" s="87" t="s">
        <v>384</v>
      </c>
      <c r="C16" s="303"/>
      <c r="D16" s="117"/>
      <c r="E16" s="117"/>
      <c r="F16" s="117"/>
      <c r="G16" s="117"/>
      <c r="H16" s="117"/>
      <c r="I16" s="51"/>
    </row>
    <row r="17" spans="1:9" ht="28.5" customHeight="1" x14ac:dyDescent="0.35">
      <c r="A17" s="86">
        <v>147</v>
      </c>
      <c r="B17" s="87" t="s">
        <v>159</v>
      </c>
      <c r="C17" s="303"/>
      <c r="D17" s="117"/>
      <c r="E17" s="117"/>
      <c r="F17" s="117"/>
      <c r="G17" s="117"/>
      <c r="H17" s="117"/>
      <c r="I17" s="51"/>
    </row>
    <row r="18" spans="1:9" ht="28.5" customHeight="1" x14ac:dyDescent="0.35">
      <c r="A18" s="86">
        <v>148</v>
      </c>
      <c r="B18" s="87" t="s">
        <v>160</v>
      </c>
      <c r="C18" s="303"/>
      <c r="D18" s="117"/>
      <c r="E18" s="117"/>
      <c r="F18" s="117"/>
      <c r="G18" s="117"/>
      <c r="H18" s="117"/>
      <c r="I18" s="51"/>
    </row>
    <row r="19" spans="1:9" ht="28.5" customHeight="1" x14ac:dyDescent="0.35">
      <c r="A19" s="86">
        <v>149</v>
      </c>
      <c r="B19" s="87" t="s">
        <v>395</v>
      </c>
      <c r="C19" s="303"/>
      <c r="D19" s="117"/>
      <c r="E19" s="117"/>
      <c r="F19" s="117"/>
      <c r="G19" s="117"/>
      <c r="H19" s="117"/>
      <c r="I19" s="51"/>
    </row>
    <row r="20" spans="1:9" ht="28.5" customHeight="1" x14ac:dyDescent="0.35">
      <c r="A20" s="86">
        <v>150</v>
      </c>
      <c r="B20" s="87" t="s">
        <v>396</v>
      </c>
      <c r="C20" s="303"/>
      <c r="D20" s="117"/>
      <c r="E20" s="117"/>
      <c r="F20" s="117"/>
      <c r="G20" s="117"/>
      <c r="H20" s="117"/>
      <c r="I20" s="51"/>
    </row>
    <row r="21" spans="1:9" ht="28.5" customHeight="1" x14ac:dyDescent="0.35">
      <c r="A21" s="86">
        <v>156</v>
      </c>
      <c r="B21" s="87" t="s">
        <v>163</v>
      </c>
      <c r="C21" s="303"/>
      <c r="D21" s="117"/>
      <c r="E21" s="117"/>
      <c r="F21" s="117"/>
      <c r="G21" s="117"/>
      <c r="H21" s="117"/>
      <c r="I21" s="51"/>
    </row>
    <row r="22" spans="1:9" ht="28.5" customHeight="1" x14ac:dyDescent="0.35">
      <c r="A22" s="86">
        <v>159</v>
      </c>
      <c r="B22" s="87" t="s">
        <v>165</v>
      </c>
      <c r="C22" s="303"/>
      <c r="D22" s="117"/>
      <c r="E22" s="117"/>
      <c r="F22" s="117"/>
      <c r="G22" s="117"/>
      <c r="H22" s="117"/>
      <c r="I22" s="51"/>
    </row>
    <row r="23" spans="1:9" ht="28.5" customHeight="1" x14ac:dyDescent="0.35">
      <c r="A23" s="49">
        <v>160</v>
      </c>
      <c r="B23" s="48" t="s">
        <v>166</v>
      </c>
      <c r="C23" s="60" t="str">
        <f t="shared" ref="C23:C37" ca="1" si="1">IF(E23&lt;TODAY(),"VENCIDA",IF(E23&gt;TODAY(),""))</f>
        <v>VENCIDA</v>
      </c>
      <c r="D23" s="114"/>
      <c r="E23" s="116"/>
      <c r="F23" s="117"/>
      <c r="G23" s="117"/>
      <c r="H23" s="117"/>
      <c r="I23" s="51"/>
    </row>
    <row r="24" spans="1:9" ht="28.5" customHeight="1" x14ac:dyDescent="0.35">
      <c r="A24" s="49">
        <v>161</v>
      </c>
      <c r="B24" s="48" t="s">
        <v>167</v>
      </c>
      <c r="C24" s="60" t="str">
        <f t="shared" ca="1" si="1"/>
        <v/>
      </c>
      <c r="D24" s="114"/>
      <c r="E24" s="116" t="s">
        <v>302</v>
      </c>
      <c r="F24" s="117"/>
      <c r="G24" s="117"/>
      <c r="H24" s="117"/>
      <c r="I24" s="51"/>
    </row>
    <row r="25" spans="1:9" ht="28.5" customHeight="1" x14ac:dyDescent="0.35">
      <c r="A25" s="49">
        <v>162</v>
      </c>
      <c r="B25" s="48" t="s">
        <v>168</v>
      </c>
      <c r="C25" s="60" t="str">
        <f t="shared" ca="1" si="1"/>
        <v/>
      </c>
      <c r="D25" s="114"/>
      <c r="E25" s="116" t="s">
        <v>302</v>
      </c>
      <c r="F25" s="117"/>
      <c r="G25" s="117"/>
      <c r="H25" s="117"/>
      <c r="I25" s="51"/>
    </row>
    <row r="26" spans="1:9" ht="28.5" customHeight="1" x14ac:dyDescent="0.35">
      <c r="A26" s="49">
        <v>163</v>
      </c>
      <c r="B26" s="48" t="s">
        <v>169</v>
      </c>
      <c r="C26" s="60" t="str">
        <f t="shared" ca="1" si="1"/>
        <v>VENCIDA</v>
      </c>
      <c r="D26" s="114"/>
      <c r="E26" s="116"/>
      <c r="F26" s="117">
        <v>700535</v>
      </c>
      <c r="G26" s="117">
        <v>1100</v>
      </c>
      <c r="H26" s="117" t="s">
        <v>301</v>
      </c>
      <c r="I26" s="51"/>
    </row>
    <row r="27" spans="1:9" ht="28.5" customHeight="1" x14ac:dyDescent="0.35">
      <c r="A27" s="49">
        <v>164</v>
      </c>
      <c r="B27" s="48" t="s">
        <v>170</v>
      </c>
      <c r="C27" s="60" t="str">
        <f t="shared" ca="1" si="1"/>
        <v/>
      </c>
      <c r="D27" s="114"/>
      <c r="E27" s="116" t="s">
        <v>302</v>
      </c>
      <c r="F27" s="117"/>
      <c r="G27" s="117"/>
      <c r="H27" s="117"/>
      <c r="I27" s="51"/>
    </row>
    <row r="28" spans="1:9" ht="28.5" customHeight="1" x14ac:dyDescent="0.35">
      <c r="A28" s="49">
        <v>165</v>
      </c>
      <c r="B28" s="48" t="s">
        <v>171</v>
      </c>
      <c r="C28" s="60" t="str">
        <f t="shared" ca="1" si="1"/>
        <v>VENCIDA</v>
      </c>
      <c r="D28" s="114"/>
      <c r="E28" s="116"/>
      <c r="F28" s="117"/>
      <c r="G28" s="117"/>
      <c r="H28" s="117"/>
      <c r="I28" s="51"/>
    </row>
    <row r="29" spans="1:9" ht="28.5" customHeight="1" x14ac:dyDescent="0.35">
      <c r="A29" s="49">
        <v>166</v>
      </c>
      <c r="B29" s="48" t="s">
        <v>172</v>
      </c>
      <c r="C29" s="60" t="str">
        <f t="shared" ca="1" si="1"/>
        <v>VENCIDA</v>
      </c>
      <c r="D29" s="114"/>
      <c r="E29" s="116"/>
      <c r="F29" s="117"/>
      <c r="G29" s="117"/>
      <c r="H29" s="117"/>
      <c r="I29" s="51"/>
    </row>
    <row r="30" spans="1:9" ht="28.5" customHeight="1" x14ac:dyDescent="0.35">
      <c r="A30" s="49">
        <v>168</v>
      </c>
      <c r="B30" s="48" t="s">
        <v>173</v>
      </c>
      <c r="C30" s="60" t="str">
        <f t="shared" ca="1" si="1"/>
        <v>VENCIDA</v>
      </c>
      <c r="D30" s="114"/>
      <c r="E30" s="116"/>
      <c r="F30" s="117"/>
      <c r="G30" s="117"/>
      <c r="H30" s="117"/>
      <c r="I30" s="51"/>
    </row>
    <row r="31" spans="1:9" ht="28.5" customHeight="1" x14ac:dyDescent="0.35">
      <c r="A31" s="49">
        <v>169</v>
      </c>
      <c r="B31" s="48" t="s">
        <v>174</v>
      </c>
      <c r="C31" s="60" t="str">
        <f t="shared" ca="1" si="1"/>
        <v>VENCIDA</v>
      </c>
      <c r="D31" s="114">
        <v>45906</v>
      </c>
      <c r="E31" s="116"/>
      <c r="F31" s="117">
        <v>26177525</v>
      </c>
      <c r="G31" s="117"/>
      <c r="H31" s="117" t="s">
        <v>306</v>
      </c>
      <c r="I31" s="51"/>
    </row>
    <row r="32" spans="1:9" ht="28.5" customHeight="1" x14ac:dyDescent="0.35">
      <c r="A32" s="49">
        <v>170</v>
      </c>
      <c r="B32" s="48" t="s">
        <v>175</v>
      </c>
      <c r="C32" s="60" t="str">
        <f t="shared" ca="1" si="1"/>
        <v>VENCIDA</v>
      </c>
      <c r="D32" s="114">
        <v>45906</v>
      </c>
      <c r="E32" s="116"/>
      <c r="F32" s="117">
        <v>26271219</v>
      </c>
      <c r="G32" s="117"/>
      <c r="H32" s="117" t="s">
        <v>306</v>
      </c>
      <c r="I32" s="51"/>
    </row>
    <row r="33" spans="1:9" ht="28.5" customHeight="1" x14ac:dyDescent="0.35">
      <c r="A33" s="49">
        <v>171</v>
      </c>
      <c r="B33" s="48" t="s">
        <v>176</v>
      </c>
      <c r="C33" s="60" t="str">
        <f t="shared" ca="1" si="1"/>
        <v>VENCIDA</v>
      </c>
      <c r="D33" s="114"/>
      <c r="E33" s="116"/>
      <c r="F33" s="117"/>
      <c r="G33" s="117"/>
      <c r="H33" s="117"/>
      <c r="I33" s="51"/>
    </row>
    <row r="34" spans="1:9" ht="28.5" customHeight="1" x14ac:dyDescent="0.35">
      <c r="A34" s="49">
        <v>172</v>
      </c>
      <c r="B34" s="48" t="s">
        <v>177</v>
      </c>
      <c r="C34" s="60" t="str">
        <f t="shared" ca="1" si="1"/>
        <v>VENCIDA</v>
      </c>
      <c r="D34" s="114"/>
      <c r="E34" s="116"/>
      <c r="F34" s="117" t="s">
        <v>303</v>
      </c>
      <c r="G34" s="117">
        <v>1250</v>
      </c>
      <c r="H34" s="117" t="s">
        <v>304</v>
      </c>
      <c r="I34" s="51"/>
    </row>
    <row r="35" spans="1:9" ht="28.5" customHeight="1" x14ac:dyDescent="0.35">
      <c r="A35" s="49">
        <v>173</v>
      </c>
      <c r="B35" s="48" t="s">
        <v>178</v>
      </c>
      <c r="C35" s="60" t="str">
        <f t="shared" ca="1" si="1"/>
        <v>VENCIDA</v>
      </c>
      <c r="D35" s="114"/>
      <c r="E35" s="116"/>
      <c r="F35" s="117"/>
      <c r="G35" s="117"/>
      <c r="H35" s="117"/>
      <c r="I35" s="51"/>
    </row>
    <row r="36" spans="1:9" ht="28.5" customHeight="1" x14ac:dyDescent="0.35">
      <c r="A36" s="49">
        <v>174</v>
      </c>
      <c r="B36" s="48" t="s">
        <v>179</v>
      </c>
      <c r="C36" s="60" t="str">
        <f t="shared" ca="1" si="1"/>
        <v>VENCIDA</v>
      </c>
      <c r="D36" s="114"/>
      <c r="E36" s="116"/>
      <c r="F36" s="117"/>
      <c r="G36" s="117"/>
      <c r="H36" s="117"/>
      <c r="I36" s="51"/>
    </row>
    <row r="37" spans="1:9" ht="28.5" customHeight="1" x14ac:dyDescent="0.35">
      <c r="A37" s="49">
        <v>175</v>
      </c>
      <c r="B37" s="48" t="s">
        <v>180</v>
      </c>
      <c r="C37" s="60" t="str">
        <f t="shared" ca="1" si="1"/>
        <v>VENCIDA</v>
      </c>
      <c r="D37" s="114"/>
      <c r="E37" s="116"/>
      <c r="F37" s="117" t="s">
        <v>305</v>
      </c>
      <c r="G37" s="117">
        <v>1250</v>
      </c>
      <c r="H37" s="117" t="s">
        <v>306</v>
      </c>
      <c r="I37" s="51"/>
    </row>
    <row r="38" spans="1:9" ht="28.5" customHeight="1" x14ac:dyDescent="0.35">
      <c r="A38" s="261">
        <v>176</v>
      </c>
      <c r="B38" s="262" t="s">
        <v>397</v>
      </c>
      <c r="C38" s="303"/>
      <c r="D38" s="117"/>
      <c r="E38" s="117"/>
      <c r="F38" s="117"/>
      <c r="G38" s="117"/>
      <c r="H38" s="117"/>
      <c r="I38" s="51"/>
    </row>
    <row r="39" spans="1:9" ht="28.5" customHeight="1" x14ac:dyDescent="0.35">
      <c r="A39" s="49">
        <v>177</v>
      </c>
      <c r="B39" s="48" t="s">
        <v>181</v>
      </c>
      <c r="C39" s="60" t="str">
        <f ca="1">IF(E39&lt;TODAY(),"VENCIDA",IF(E39&gt;TODAY(),""))</f>
        <v>VENCIDA</v>
      </c>
      <c r="D39" s="114"/>
      <c r="E39" s="116"/>
      <c r="F39" s="117"/>
      <c r="G39" s="117"/>
      <c r="H39" s="117"/>
      <c r="I39" s="51"/>
    </row>
    <row r="40" spans="1:9" ht="28.5" customHeight="1" x14ac:dyDescent="0.35">
      <c r="A40" s="49">
        <v>178</v>
      </c>
      <c r="B40" s="48" t="s">
        <v>182</v>
      </c>
      <c r="C40" s="60" t="str">
        <f ca="1">IF(E40&lt;TODAY(),"VENCIDA",IF(E40&gt;TODAY(),""))</f>
        <v>VENCIDA</v>
      </c>
      <c r="D40" s="114"/>
      <c r="E40" s="116"/>
      <c r="F40" s="117"/>
      <c r="G40" s="117"/>
      <c r="H40" s="117"/>
      <c r="I40" s="51"/>
    </row>
    <row r="41" spans="1:9" ht="28.5" customHeight="1" x14ac:dyDescent="0.35">
      <c r="A41" s="49">
        <v>179</v>
      </c>
      <c r="B41" s="48" t="s">
        <v>183</v>
      </c>
      <c r="C41" s="60" t="str">
        <f ca="1">IF(E41&lt;TODAY(),"VENCIDA",IF(E41&gt;TODAY(),""))</f>
        <v/>
      </c>
      <c r="D41" s="114"/>
      <c r="E41" s="116" t="s">
        <v>302</v>
      </c>
      <c r="F41" s="117"/>
      <c r="G41" s="117"/>
      <c r="H41" s="117"/>
      <c r="I41" s="51"/>
    </row>
    <row r="42" spans="1:9" ht="28.5" customHeight="1" x14ac:dyDescent="0.35">
      <c r="A42" s="46">
        <v>180</v>
      </c>
      <c r="B42" s="47" t="s">
        <v>184</v>
      </c>
      <c r="C42" s="60" t="str">
        <f ca="1">IF(E42&lt;TODAY(),"VENCIDA",IF(E42&gt;TODAY(),""))</f>
        <v>VENCIDA</v>
      </c>
      <c r="D42" s="114"/>
      <c r="E42" s="116"/>
      <c r="F42" s="117"/>
      <c r="G42" s="117"/>
      <c r="H42" s="117"/>
      <c r="I42" s="51"/>
    </row>
    <row r="43" spans="1:9" ht="28.5" customHeight="1" x14ac:dyDescent="0.35">
      <c r="A43" s="261">
        <v>181</v>
      </c>
      <c r="B43" s="262" t="s">
        <v>398</v>
      </c>
      <c r="C43" s="303"/>
      <c r="D43" s="117"/>
      <c r="E43" s="117"/>
      <c r="F43" s="117"/>
      <c r="G43" s="117"/>
      <c r="H43" s="117"/>
      <c r="I43" s="51"/>
    </row>
    <row r="44" spans="1:9" ht="28.5" customHeight="1" x14ac:dyDescent="0.35">
      <c r="A44" s="188">
        <v>182</v>
      </c>
      <c r="B44" s="194" t="s">
        <v>399</v>
      </c>
      <c r="C44" s="303"/>
      <c r="D44" s="117"/>
      <c r="E44" s="117"/>
      <c r="F44" s="117"/>
      <c r="G44" s="117"/>
      <c r="H44" s="117"/>
      <c r="I44" s="51"/>
    </row>
    <row r="45" spans="1:9" ht="28.5" customHeight="1" x14ac:dyDescent="0.35">
      <c r="A45" s="49">
        <v>183</v>
      </c>
      <c r="B45" s="48" t="s">
        <v>185</v>
      </c>
      <c r="C45" s="60" t="str">
        <f ca="1">IF(E45&lt;TODAY(),"VENCIDA",IF(E45&gt;TODAY(),""))</f>
        <v>VENCIDA</v>
      </c>
      <c r="D45" s="114"/>
      <c r="E45" s="116"/>
      <c r="F45" s="117" t="s">
        <v>307</v>
      </c>
      <c r="G45" s="117">
        <v>1250</v>
      </c>
      <c r="H45" s="117" t="s">
        <v>304</v>
      </c>
      <c r="I45" s="51"/>
    </row>
    <row r="46" spans="1:9" ht="28.5" customHeight="1" x14ac:dyDescent="0.35">
      <c r="A46" s="46">
        <v>184</v>
      </c>
      <c r="B46" s="47" t="s">
        <v>186</v>
      </c>
      <c r="C46" s="60" t="str">
        <f ca="1">IF(E47&lt;TODAY(),"VENCIDA",IF(E47&gt;TODAY(),""))</f>
        <v>VENCIDA</v>
      </c>
      <c r="D46" s="117"/>
      <c r="E46" s="117" t="s">
        <v>302</v>
      </c>
      <c r="F46" s="117"/>
      <c r="G46" s="117"/>
      <c r="H46" s="117"/>
      <c r="I46" s="51"/>
    </row>
    <row r="47" spans="1:9" ht="28.5" customHeight="1" x14ac:dyDescent="0.35">
      <c r="A47" s="46">
        <v>186</v>
      </c>
      <c r="B47" s="47" t="s">
        <v>187</v>
      </c>
      <c r="C47" s="60" t="str">
        <f ca="1">IF(E48&lt;TODAY(),"VENCIDA",IF(E48&gt;TODAY(),""))</f>
        <v>VENCIDA</v>
      </c>
      <c r="D47" s="114">
        <v>45701</v>
      </c>
      <c r="E47" s="116">
        <v>46066</v>
      </c>
      <c r="F47" s="117" t="s">
        <v>346</v>
      </c>
      <c r="G47" s="117">
        <v>1250</v>
      </c>
      <c r="H47" s="117" t="s">
        <v>261</v>
      </c>
      <c r="I47" s="88">
        <v>156326</v>
      </c>
    </row>
    <row r="48" spans="1:9" ht="28.5" customHeight="1" x14ac:dyDescent="0.35">
      <c r="A48" s="46">
        <v>187</v>
      </c>
      <c r="B48" s="47" t="s">
        <v>188</v>
      </c>
      <c r="C48" s="60" t="str">
        <f t="shared" ref="C48:C56" ca="1" si="2">IF(E48&lt;TODAY(),"VENCIDA",IF(E48&gt;TODAY(),""))</f>
        <v>VENCIDA</v>
      </c>
      <c r="D48" s="114"/>
      <c r="E48" s="116"/>
      <c r="F48" s="117" t="s">
        <v>305</v>
      </c>
      <c r="G48" s="117">
        <v>1250</v>
      </c>
      <c r="H48" s="117" t="s">
        <v>304</v>
      </c>
      <c r="I48" s="51"/>
    </row>
    <row r="49" spans="1:9" ht="28.5" customHeight="1" x14ac:dyDescent="0.35">
      <c r="A49" s="49">
        <v>221</v>
      </c>
      <c r="B49" s="48" t="s">
        <v>203</v>
      </c>
      <c r="C49" s="60" t="str">
        <f t="shared" ca="1" si="2"/>
        <v>VENCIDA</v>
      </c>
      <c r="D49" s="114"/>
      <c r="E49" s="116"/>
      <c r="F49" s="117"/>
      <c r="G49" s="117"/>
      <c r="H49" s="117"/>
      <c r="I49" s="51"/>
    </row>
    <row r="50" spans="1:9" ht="28.5" customHeight="1" x14ac:dyDescent="0.35">
      <c r="A50" s="49">
        <v>222</v>
      </c>
      <c r="B50" s="48" t="s">
        <v>204</v>
      </c>
      <c r="C50" s="60" t="str">
        <f t="shared" ca="1" si="2"/>
        <v>VENCIDA</v>
      </c>
      <c r="D50" s="114"/>
      <c r="E50" s="116"/>
      <c r="F50" s="117"/>
      <c r="G50" s="117"/>
      <c r="H50" s="117"/>
      <c r="I50" s="51"/>
    </row>
    <row r="51" spans="1:9" ht="28.5" customHeight="1" x14ac:dyDescent="0.35">
      <c r="A51" s="49">
        <v>223</v>
      </c>
      <c r="B51" s="48" t="s">
        <v>205</v>
      </c>
      <c r="C51" s="60" t="str">
        <f t="shared" ca="1" si="2"/>
        <v>VENCIDA</v>
      </c>
      <c r="D51" s="114"/>
      <c r="E51" s="116"/>
      <c r="F51" s="117" t="s">
        <v>308</v>
      </c>
      <c r="G51" s="117">
        <v>1250</v>
      </c>
      <c r="H51" s="117" t="s">
        <v>306</v>
      </c>
      <c r="I51" s="51"/>
    </row>
    <row r="52" spans="1:9" ht="28.5" customHeight="1" x14ac:dyDescent="0.35">
      <c r="A52" s="49">
        <v>230</v>
      </c>
      <c r="B52" s="48" t="s">
        <v>209</v>
      </c>
      <c r="C52" s="60" t="str">
        <f t="shared" ca="1" si="2"/>
        <v>VENCIDA</v>
      </c>
      <c r="D52" s="114"/>
      <c r="E52" s="116"/>
      <c r="F52" s="117"/>
      <c r="G52" s="117"/>
      <c r="H52" s="117"/>
      <c r="I52" s="51"/>
    </row>
    <row r="53" spans="1:9" ht="28.5" customHeight="1" x14ac:dyDescent="0.35">
      <c r="A53" s="49">
        <v>231</v>
      </c>
      <c r="B53" s="48" t="s">
        <v>210</v>
      </c>
      <c r="C53" s="60" t="str">
        <f t="shared" ca="1" si="2"/>
        <v>VENCIDA</v>
      </c>
      <c r="D53" s="114"/>
      <c r="E53" s="116"/>
      <c r="F53" s="117"/>
      <c r="G53" s="117"/>
      <c r="H53" s="117"/>
      <c r="I53" s="51"/>
    </row>
    <row r="54" spans="1:9" ht="28.5" customHeight="1" x14ac:dyDescent="0.35">
      <c r="A54" s="49">
        <v>232</v>
      </c>
      <c r="B54" s="48" t="s">
        <v>211</v>
      </c>
      <c r="C54" s="60" t="str">
        <f t="shared" ca="1" si="2"/>
        <v>VENCIDA</v>
      </c>
      <c r="D54" s="114"/>
      <c r="E54" s="116"/>
      <c r="F54" s="117" t="s">
        <v>309</v>
      </c>
      <c r="G54" s="117">
        <v>1250</v>
      </c>
      <c r="H54" s="117" t="s">
        <v>304</v>
      </c>
      <c r="I54" s="51"/>
    </row>
    <row r="55" spans="1:9" ht="28.5" customHeight="1" x14ac:dyDescent="0.35">
      <c r="A55" s="49">
        <v>233</v>
      </c>
      <c r="B55" s="48" t="s">
        <v>212</v>
      </c>
      <c r="C55" s="60" t="str">
        <f t="shared" ca="1" si="2"/>
        <v>VENCIDA</v>
      </c>
      <c r="D55" s="114"/>
      <c r="E55" s="116"/>
      <c r="F55" s="117" t="s">
        <v>310</v>
      </c>
      <c r="G55" s="117">
        <v>1250</v>
      </c>
      <c r="H55" s="117" t="s">
        <v>306</v>
      </c>
      <c r="I55" s="51"/>
    </row>
    <row r="56" spans="1:9" ht="28.5" customHeight="1" x14ac:dyDescent="0.35">
      <c r="A56" s="49">
        <v>234</v>
      </c>
      <c r="B56" s="48" t="s">
        <v>213</v>
      </c>
      <c r="C56" s="60" t="str">
        <f t="shared" ca="1" si="2"/>
        <v>VENCIDA</v>
      </c>
      <c r="D56" s="114"/>
      <c r="E56" s="116"/>
      <c r="F56" s="117" t="s">
        <v>311</v>
      </c>
      <c r="G56" s="117">
        <v>1250</v>
      </c>
      <c r="H56" s="117" t="s">
        <v>306</v>
      </c>
      <c r="I56" s="51"/>
    </row>
    <row r="57" spans="1:9" ht="28.5" customHeight="1" x14ac:dyDescent="0.35">
      <c r="A57" s="86">
        <v>240</v>
      </c>
      <c r="B57" s="87" t="s">
        <v>400</v>
      </c>
      <c r="C57" s="303"/>
      <c r="D57" s="117"/>
      <c r="E57" s="117"/>
      <c r="F57" s="117"/>
      <c r="G57" s="117"/>
      <c r="H57" s="117"/>
      <c r="I57" s="51"/>
    </row>
    <row r="58" spans="1:9" ht="28.5" customHeight="1" x14ac:dyDescent="0.35">
      <c r="A58" s="49">
        <v>241</v>
      </c>
      <c r="B58" s="48" t="s">
        <v>214</v>
      </c>
      <c r="C58" s="60" t="str">
        <f t="shared" ref="C58:C63" ca="1" si="3">IF(E58&lt;TODAY(),"VENCIDA",IF(E58&gt;TODAY(),""))</f>
        <v>VENCIDA</v>
      </c>
      <c r="D58" s="114"/>
      <c r="E58" s="116"/>
      <c r="F58" s="117" t="s">
        <v>312</v>
      </c>
      <c r="G58" s="117">
        <v>1100</v>
      </c>
      <c r="H58" s="117" t="s">
        <v>304</v>
      </c>
      <c r="I58" s="51"/>
    </row>
    <row r="59" spans="1:9" ht="28.5" customHeight="1" x14ac:dyDescent="0.35">
      <c r="A59" s="49">
        <v>242</v>
      </c>
      <c r="B59" s="48" t="s">
        <v>215</v>
      </c>
      <c r="C59" s="60" t="str">
        <f t="shared" ca="1" si="3"/>
        <v>VENCIDA</v>
      </c>
      <c r="D59" s="114"/>
      <c r="E59" s="116"/>
      <c r="F59" s="117"/>
      <c r="G59" s="117"/>
      <c r="H59" s="117"/>
      <c r="I59" s="51"/>
    </row>
    <row r="60" spans="1:9" ht="28.5" customHeight="1" x14ac:dyDescent="0.35">
      <c r="A60" s="49">
        <v>243</v>
      </c>
      <c r="B60" s="48" t="s">
        <v>216</v>
      </c>
      <c r="C60" s="60" t="str">
        <f t="shared" ca="1" si="3"/>
        <v>VENCIDA</v>
      </c>
      <c r="D60" s="114"/>
      <c r="E60" s="116"/>
      <c r="F60" s="117" t="s">
        <v>313</v>
      </c>
      <c r="G60" s="117">
        <v>1100</v>
      </c>
      <c r="H60" s="117" t="s">
        <v>304</v>
      </c>
      <c r="I60" s="51"/>
    </row>
    <row r="61" spans="1:9" ht="28.5" customHeight="1" x14ac:dyDescent="0.35">
      <c r="A61" s="49">
        <v>244</v>
      </c>
      <c r="B61" s="48" t="s">
        <v>217</v>
      </c>
      <c r="C61" s="60" t="str">
        <f t="shared" ca="1" si="3"/>
        <v>VENCIDA</v>
      </c>
      <c r="D61" s="114"/>
      <c r="E61" s="116"/>
      <c r="F61" s="117"/>
      <c r="G61" s="117"/>
      <c r="H61" s="117"/>
      <c r="I61" s="51"/>
    </row>
    <row r="62" spans="1:9" ht="28.5" customHeight="1" x14ac:dyDescent="0.35">
      <c r="A62" s="49">
        <v>245</v>
      </c>
      <c r="B62" s="48" t="s">
        <v>218</v>
      </c>
      <c r="C62" s="60" t="str">
        <f t="shared" ca="1" si="3"/>
        <v>VENCIDA</v>
      </c>
      <c r="D62" s="114"/>
      <c r="E62" s="116"/>
      <c r="F62" s="117" t="s">
        <v>314</v>
      </c>
      <c r="G62" s="117">
        <v>1100</v>
      </c>
      <c r="H62" s="117" t="s">
        <v>304</v>
      </c>
      <c r="I62" s="51"/>
    </row>
    <row r="63" spans="1:9" ht="28.5" customHeight="1" x14ac:dyDescent="0.35">
      <c r="A63" s="49">
        <v>246</v>
      </c>
      <c r="B63" s="48" t="s">
        <v>219</v>
      </c>
      <c r="C63" s="60" t="str">
        <f t="shared" ca="1" si="3"/>
        <v>VENCIDA</v>
      </c>
      <c r="D63" s="114"/>
      <c r="E63" s="116"/>
      <c r="F63" s="117" t="s">
        <v>315</v>
      </c>
      <c r="G63" s="117">
        <v>1100</v>
      </c>
      <c r="H63" s="117" t="s">
        <v>304</v>
      </c>
      <c r="I63" s="51"/>
    </row>
    <row r="64" spans="1:9" ht="28.5" customHeight="1" x14ac:dyDescent="0.35">
      <c r="A64" s="86">
        <v>247</v>
      </c>
      <c r="B64" s="87" t="s">
        <v>401</v>
      </c>
      <c r="C64" s="303"/>
      <c r="D64" s="117"/>
      <c r="E64" s="117"/>
      <c r="F64" s="117"/>
      <c r="G64" s="117"/>
      <c r="H64" s="117"/>
      <c r="I64" s="51"/>
    </row>
    <row r="65" spans="1:9" ht="28.5" customHeight="1" x14ac:dyDescent="0.35">
      <c r="A65" s="49">
        <v>248</v>
      </c>
      <c r="B65" s="48" t="s">
        <v>220</v>
      </c>
      <c r="C65" s="60" t="str">
        <f ca="1">IF(E65&lt;TODAY(),"VENCIDA",IF(E65&gt;TODAY(),""))</f>
        <v>VENCIDA</v>
      </c>
      <c r="D65" s="114"/>
      <c r="E65" s="116"/>
      <c r="F65" s="117" t="s">
        <v>316</v>
      </c>
      <c r="G65" s="117">
        <v>1100</v>
      </c>
      <c r="H65" s="117" t="s">
        <v>304</v>
      </c>
      <c r="I65" s="51"/>
    </row>
    <row r="66" spans="1:9" ht="28.5" customHeight="1" x14ac:dyDescent="0.35">
      <c r="A66" s="86">
        <v>249</v>
      </c>
      <c r="B66" s="87" t="s">
        <v>402</v>
      </c>
      <c r="C66" s="303"/>
      <c r="D66" s="117"/>
      <c r="E66" s="117"/>
      <c r="F66" s="117"/>
      <c r="G66" s="117"/>
      <c r="H66" s="117"/>
      <c r="I66" s="51"/>
    </row>
    <row r="67" spans="1:9" ht="28.5" customHeight="1" x14ac:dyDescent="0.35">
      <c r="A67" s="261">
        <v>250</v>
      </c>
      <c r="B67" s="262" t="s">
        <v>403</v>
      </c>
      <c r="C67" s="303"/>
      <c r="D67" s="117"/>
      <c r="E67" s="117"/>
      <c r="F67" s="117"/>
      <c r="G67" s="117"/>
      <c r="H67" s="117"/>
      <c r="I67" s="51"/>
    </row>
    <row r="68" spans="1:9" ht="28.5" customHeight="1" x14ac:dyDescent="0.35">
      <c r="A68" s="86">
        <v>251</v>
      </c>
      <c r="B68" s="87" t="s">
        <v>404</v>
      </c>
      <c r="C68" s="303"/>
      <c r="D68" s="117"/>
      <c r="E68" s="117"/>
      <c r="F68" s="117"/>
      <c r="G68" s="117"/>
      <c r="H68" s="117"/>
      <c r="I68" s="51"/>
    </row>
    <row r="69" spans="1:9" ht="28.5" customHeight="1" x14ac:dyDescent="0.35">
      <c r="A69" s="276">
        <v>260</v>
      </c>
      <c r="B69" s="277" t="s">
        <v>221</v>
      </c>
      <c r="C69" s="303"/>
      <c r="D69" s="117"/>
      <c r="E69" s="117"/>
      <c r="F69" s="117"/>
      <c r="G69" s="117"/>
      <c r="H69" s="117"/>
      <c r="I69" s="51"/>
    </row>
    <row r="70" spans="1:9" ht="28.5" customHeight="1" x14ac:dyDescent="0.35">
      <c r="A70" s="275" t="s">
        <v>243</v>
      </c>
      <c r="B70" s="275" t="s">
        <v>244</v>
      </c>
      <c r="C70" s="303"/>
      <c r="D70" s="117"/>
      <c r="E70" s="117"/>
      <c r="F70" s="117"/>
      <c r="G70" s="117"/>
      <c r="H70" s="117"/>
      <c r="I70" s="51"/>
    </row>
  </sheetData>
  <phoneticPr fontId="16" type="noConversion"/>
  <conditionalFormatting sqref="C4:D15 C23:D37 C39:D42 C45:D45 C46 C47:D56 C58:D63 C65:D65">
    <cfRule type="expression" dxfId="0" priority="1">
      <formula>C4="VENCIDA"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2:Z119"/>
  <sheetViews>
    <sheetView zoomScale="60" zoomScaleNormal="60" workbookViewId="0">
      <selection activeCell="F65" sqref="F65"/>
    </sheetView>
  </sheetViews>
  <sheetFormatPr baseColWidth="10" defaultRowHeight="15" x14ac:dyDescent="0.25"/>
  <cols>
    <col min="2" max="2" width="13.5703125" bestFit="1" customWidth="1"/>
    <col min="3" max="3" width="12.85546875" bestFit="1" customWidth="1"/>
    <col min="4" max="4" width="11.140625" customWidth="1"/>
    <col min="5" max="5" width="12.85546875" bestFit="1" customWidth="1"/>
    <col min="6" max="7" width="12.85546875" customWidth="1"/>
  </cols>
  <sheetData>
    <row r="2" spans="1:26" s="13" customFormat="1" ht="42" customHeight="1" x14ac:dyDescent="0.25">
      <c r="C2" s="362" t="s">
        <v>57</v>
      </c>
      <c r="D2" s="362"/>
      <c r="E2" s="362"/>
      <c r="F2" s="362"/>
      <c r="G2" s="362"/>
      <c r="H2" s="362"/>
      <c r="I2" s="363" t="s">
        <v>58</v>
      </c>
      <c r="J2" s="363"/>
      <c r="K2" s="363"/>
      <c r="L2" s="363"/>
      <c r="M2" s="363"/>
      <c r="N2" s="363"/>
      <c r="O2" s="362" t="s">
        <v>59</v>
      </c>
      <c r="P2" s="362"/>
      <c r="Q2" s="362"/>
      <c r="R2" s="362"/>
      <c r="S2" s="362"/>
      <c r="T2" s="362"/>
      <c r="U2" s="363" t="s">
        <v>60</v>
      </c>
      <c r="V2" s="363"/>
      <c r="W2" s="363"/>
      <c r="X2" s="363"/>
      <c r="Y2" s="363"/>
      <c r="Z2" s="363"/>
    </row>
    <row r="3" spans="1:26" s="20" customFormat="1" ht="45" x14ac:dyDescent="0.25">
      <c r="A3" s="14" t="s">
        <v>0</v>
      </c>
      <c r="B3" s="15" t="s">
        <v>1</v>
      </c>
      <c r="C3" s="16" t="s">
        <v>133</v>
      </c>
      <c r="D3" s="16" t="s">
        <v>7</v>
      </c>
      <c r="E3" s="16" t="s">
        <v>19</v>
      </c>
      <c r="F3" s="16" t="s">
        <v>56</v>
      </c>
      <c r="G3" s="16" t="s">
        <v>7</v>
      </c>
      <c r="H3" s="17" t="s">
        <v>54</v>
      </c>
      <c r="I3" s="18" t="s">
        <v>133</v>
      </c>
      <c r="J3" s="18" t="s">
        <v>7</v>
      </c>
      <c r="K3" s="18" t="s">
        <v>19</v>
      </c>
      <c r="L3" s="18" t="s">
        <v>56</v>
      </c>
      <c r="M3" s="18" t="s">
        <v>7</v>
      </c>
      <c r="N3" s="19" t="s">
        <v>54</v>
      </c>
      <c r="O3" s="16" t="s">
        <v>133</v>
      </c>
      <c r="P3" s="16" t="s">
        <v>7</v>
      </c>
      <c r="Q3" s="16" t="s">
        <v>19</v>
      </c>
      <c r="R3" s="16" t="s">
        <v>56</v>
      </c>
      <c r="S3" s="16" t="s">
        <v>7</v>
      </c>
      <c r="T3" s="17" t="s">
        <v>54</v>
      </c>
      <c r="U3" s="18" t="s">
        <v>133</v>
      </c>
      <c r="V3" s="18" t="s">
        <v>7</v>
      </c>
      <c r="W3" s="18" t="s">
        <v>19</v>
      </c>
      <c r="X3" s="18" t="s">
        <v>56</v>
      </c>
      <c r="Y3" s="18" t="s">
        <v>7</v>
      </c>
      <c r="Z3" s="19" t="s">
        <v>54</v>
      </c>
    </row>
    <row r="4" spans="1:26" ht="33.75" customHeight="1" x14ac:dyDescent="0.25">
      <c r="A4" s="36">
        <v>2</v>
      </c>
      <c r="B4" s="3" t="s">
        <v>134</v>
      </c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8"/>
      <c r="P4" s="8"/>
      <c r="Q4" s="8"/>
      <c r="R4" s="8"/>
      <c r="S4" s="8"/>
      <c r="T4" s="8"/>
      <c r="U4" s="9"/>
      <c r="V4" s="9"/>
      <c r="W4" s="9"/>
      <c r="X4" s="9"/>
      <c r="Y4" s="9"/>
      <c r="Z4" s="9"/>
    </row>
    <row r="5" spans="1:26" ht="33.75" customHeight="1" x14ac:dyDescent="0.25">
      <c r="A5" s="36">
        <v>3</v>
      </c>
      <c r="B5" s="3" t="s">
        <v>135</v>
      </c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8"/>
      <c r="P5" s="8"/>
      <c r="Q5" s="8"/>
      <c r="R5" s="8"/>
      <c r="S5" s="8"/>
      <c r="T5" s="8"/>
      <c r="U5" s="9"/>
      <c r="V5" s="9"/>
      <c r="W5" s="9"/>
      <c r="X5" s="9"/>
      <c r="Y5" s="9"/>
      <c r="Z5" s="9"/>
    </row>
    <row r="6" spans="1:26" ht="33.75" customHeight="1" x14ac:dyDescent="0.25">
      <c r="A6" s="36">
        <v>4</v>
      </c>
      <c r="B6" s="3" t="s">
        <v>136</v>
      </c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8"/>
      <c r="P6" s="8"/>
      <c r="Q6" s="8"/>
      <c r="R6" s="8"/>
      <c r="S6" s="8"/>
      <c r="T6" s="8"/>
      <c r="U6" s="9"/>
      <c r="V6" s="9"/>
      <c r="W6" s="9"/>
      <c r="X6" s="9"/>
      <c r="Y6" s="9"/>
      <c r="Z6" s="9"/>
    </row>
    <row r="7" spans="1:26" ht="33.75" customHeight="1" x14ac:dyDescent="0.25">
      <c r="A7" s="36">
        <v>6</v>
      </c>
      <c r="B7" s="3" t="s">
        <v>137</v>
      </c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8"/>
      <c r="P7" s="8"/>
      <c r="Q7" s="8"/>
      <c r="R7" s="8"/>
      <c r="S7" s="8"/>
      <c r="T7" s="8"/>
      <c r="U7" s="9"/>
      <c r="V7" s="9"/>
      <c r="W7" s="9"/>
      <c r="X7" s="9"/>
      <c r="Y7" s="9"/>
      <c r="Z7" s="9"/>
    </row>
    <row r="8" spans="1:26" ht="33.75" customHeight="1" x14ac:dyDescent="0.25">
      <c r="A8" s="36">
        <v>7</v>
      </c>
      <c r="B8" s="3" t="s">
        <v>138</v>
      </c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8"/>
      <c r="P8" s="8"/>
      <c r="Q8" s="8"/>
      <c r="R8" s="8"/>
      <c r="S8" s="8"/>
      <c r="T8" s="8"/>
      <c r="U8" s="9"/>
      <c r="V8" s="9"/>
      <c r="W8" s="9"/>
      <c r="X8" s="9"/>
      <c r="Y8" s="9"/>
      <c r="Z8" s="9"/>
    </row>
    <row r="9" spans="1:26" ht="33.75" customHeight="1" x14ac:dyDescent="0.25">
      <c r="A9" s="36">
        <v>8</v>
      </c>
      <c r="B9" s="3" t="s">
        <v>139</v>
      </c>
      <c r="C9" s="8"/>
      <c r="D9" s="8"/>
      <c r="E9" s="8"/>
      <c r="F9" s="8"/>
      <c r="G9" s="8"/>
      <c r="H9" s="8"/>
      <c r="I9" s="9"/>
      <c r="J9" s="9"/>
      <c r="K9" s="9"/>
      <c r="L9" s="9"/>
      <c r="M9" s="9"/>
      <c r="N9" s="9"/>
      <c r="O9" s="8"/>
      <c r="P9" s="8"/>
      <c r="Q9" s="8"/>
      <c r="R9" s="8"/>
      <c r="S9" s="8"/>
      <c r="T9" s="8"/>
      <c r="U9" s="9"/>
      <c r="V9" s="9"/>
      <c r="W9" s="9"/>
      <c r="X9" s="9"/>
      <c r="Y9" s="9"/>
      <c r="Z9" s="9"/>
    </row>
    <row r="10" spans="1:26" ht="33.75" customHeight="1" x14ac:dyDescent="0.25">
      <c r="A10" s="36">
        <v>9</v>
      </c>
      <c r="B10" s="3" t="s">
        <v>140</v>
      </c>
      <c r="C10" s="8"/>
      <c r="D10" s="8"/>
      <c r="E10" s="8"/>
      <c r="F10" s="8"/>
      <c r="G10" s="8"/>
      <c r="H10" s="8"/>
      <c r="I10" s="9"/>
      <c r="J10" s="9"/>
      <c r="K10" s="9"/>
      <c r="L10" s="9"/>
      <c r="M10" s="9"/>
      <c r="N10" s="9"/>
      <c r="O10" s="8"/>
      <c r="P10" s="8"/>
      <c r="Q10" s="8"/>
      <c r="R10" s="8"/>
      <c r="S10" s="8"/>
      <c r="T10" s="8"/>
      <c r="U10" s="9"/>
      <c r="V10" s="9"/>
      <c r="W10" s="9"/>
      <c r="X10" s="9"/>
      <c r="Y10" s="9"/>
      <c r="Z10" s="9"/>
    </row>
    <row r="11" spans="1:26" ht="33.75" customHeight="1" x14ac:dyDescent="0.25">
      <c r="A11" s="37">
        <v>10</v>
      </c>
      <c r="B11" s="3" t="s">
        <v>141</v>
      </c>
      <c r="C11" s="8"/>
      <c r="D11" s="8"/>
      <c r="E11" s="8"/>
      <c r="F11" s="8"/>
      <c r="G11" s="8"/>
      <c r="H11" s="8"/>
      <c r="I11" s="9"/>
      <c r="J11" s="9"/>
      <c r="K11" s="9"/>
      <c r="L11" s="9"/>
      <c r="M11" s="9"/>
      <c r="N11" s="9"/>
      <c r="O11" s="8"/>
      <c r="P11" s="8"/>
      <c r="Q11" s="8"/>
      <c r="R11" s="8"/>
      <c r="S11" s="8"/>
      <c r="T11" s="8"/>
      <c r="U11" s="9"/>
      <c r="V11" s="9"/>
      <c r="W11" s="9"/>
      <c r="X11" s="9"/>
      <c r="Y11" s="9"/>
      <c r="Z11" s="9"/>
    </row>
    <row r="12" spans="1:26" ht="33.75" customHeight="1" x14ac:dyDescent="0.25">
      <c r="A12" s="37">
        <v>11</v>
      </c>
      <c r="B12" s="38" t="s">
        <v>142</v>
      </c>
      <c r="C12" s="8"/>
      <c r="D12" s="8"/>
      <c r="E12" s="8"/>
      <c r="F12" s="8"/>
      <c r="G12" s="8"/>
      <c r="H12" s="8"/>
      <c r="I12" s="9"/>
      <c r="J12" s="9"/>
      <c r="K12" s="9"/>
      <c r="L12" s="9"/>
      <c r="M12" s="9"/>
      <c r="N12" s="9"/>
      <c r="O12" s="8"/>
      <c r="P12" s="8"/>
      <c r="Q12" s="8"/>
      <c r="R12" s="8"/>
      <c r="S12" s="8"/>
      <c r="T12" s="8"/>
      <c r="U12" s="9"/>
      <c r="V12" s="9"/>
      <c r="W12" s="9"/>
      <c r="X12" s="9"/>
      <c r="Y12" s="9"/>
      <c r="Z12" s="9"/>
    </row>
    <row r="13" spans="1:26" ht="33.75" customHeight="1" x14ac:dyDescent="0.25">
      <c r="A13" s="39">
        <v>13</v>
      </c>
      <c r="B13" s="38" t="s">
        <v>143</v>
      </c>
      <c r="C13" s="8"/>
      <c r="D13" s="8"/>
      <c r="E13" s="8"/>
      <c r="F13" s="8"/>
      <c r="G13" s="8"/>
      <c r="H13" s="8"/>
      <c r="I13" s="9"/>
      <c r="J13" s="9"/>
      <c r="K13" s="9"/>
      <c r="L13" s="9"/>
      <c r="M13" s="9"/>
      <c r="N13" s="9"/>
      <c r="O13" s="8"/>
      <c r="P13" s="8"/>
      <c r="Q13" s="8"/>
      <c r="R13" s="8"/>
      <c r="S13" s="8"/>
      <c r="T13" s="8"/>
      <c r="U13" s="9"/>
      <c r="V13" s="9"/>
      <c r="W13" s="9"/>
      <c r="X13" s="9"/>
      <c r="Y13" s="9"/>
      <c r="Z13" s="9"/>
    </row>
    <row r="14" spans="1:26" ht="33.75" customHeight="1" x14ac:dyDescent="0.25">
      <c r="A14" s="39">
        <v>99</v>
      </c>
      <c r="B14" s="3" t="s">
        <v>144</v>
      </c>
      <c r="C14" s="8"/>
      <c r="D14" s="8"/>
      <c r="E14" s="8"/>
      <c r="F14" s="8"/>
      <c r="G14" s="8"/>
      <c r="H14" s="8"/>
      <c r="I14" s="9"/>
      <c r="J14" s="9"/>
      <c r="K14" s="9"/>
      <c r="L14" s="9"/>
      <c r="M14" s="9"/>
      <c r="N14" s="9"/>
      <c r="O14" s="8"/>
      <c r="P14" s="8"/>
      <c r="Q14" s="8"/>
      <c r="R14" s="8"/>
      <c r="S14" s="8"/>
      <c r="T14" s="8"/>
      <c r="U14" s="9"/>
      <c r="V14" s="9"/>
      <c r="W14" s="9"/>
      <c r="X14" s="9"/>
      <c r="Y14" s="9"/>
      <c r="Z14" s="9"/>
    </row>
    <row r="15" spans="1:26" ht="33.75" customHeight="1" x14ac:dyDescent="0.25">
      <c r="A15" s="36">
        <v>125</v>
      </c>
      <c r="B15" s="3" t="s">
        <v>145</v>
      </c>
      <c r="C15" s="8"/>
      <c r="D15" s="8"/>
      <c r="E15" s="8"/>
      <c r="F15" s="8"/>
      <c r="G15" s="8"/>
      <c r="H15" s="8"/>
      <c r="I15" s="9"/>
      <c r="J15" s="9"/>
      <c r="K15" s="9"/>
      <c r="L15" s="9"/>
      <c r="M15" s="9"/>
      <c r="N15" s="9"/>
      <c r="O15" s="8"/>
      <c r="P15" s="8"/>
      <c r="Q15" s="8"/>
      <c r="R15" s="8"/>
      <c r="S15" s="8"/>
      <c r="T15" s="8"/>
      <c r="U15" s="9"/>
      <c r="V15" s="9"/>
      <c r="W15" s="9"/>
      <c r="X15" s="9"/>
      <c r="Y15" s="9"/>
      <c r="Z15" s="9"/>
    </row>
    <row r="16" spans="1:26" ht="33.75" customHeight="1" x14ac:dyDescent="0.25">
      <c r="A16" s="36">
        <v>130</v>
      </c>
      <c r="B16" s="3" t="s">
        <v>146</v>
      </c>
      <c r="C16" s="152">
        <v>454723</v>
      </c>
      <c r="D16" s="153">
        <v>45637</v>
      </c>
      <c r="E16" s="152">
        <v>454723</v>
      </c>
      <c r="F16" s="8"/>
      <c r="G16" s="8"/>
      <c r="H16" s="8"/>
      <c r="I16" s="154">
        <v>454723</v>
      </c>
      <c r="J16" s="155">
        <v>45637</v>
      </c>
      <c r="K16" s="154">
        <v>454723</v>
      </c>
      <c r="L16" s="9"/>
      <c r="M16" s="9"/>
      <c r="N16" s="9"/>
      <c r="O16" s="152">
        <v>454723</v>
      </c>
      <c r="P16" s="153">
        <v>45637</v>
      </c>
      <c r="Q16" s="152">
        <v>454723</v>
      </c>
      <c r="R16" s="8"/>
      <c r="S16" s="8"/>
      <c r="T16" s="8"/>
      <c r="U16" s="154">
        <v>454723</v>
      </c>
      <c r="V16" s="155">
        <v>45637</v>
      </c>
      <c r="W16" s="154">
        <v>454723</v>
      </c>
      <c r="X16" s="9"/>
      <c r="Y16" s="9"/>
      <c r="Z16" s="9"/>
    </row>
    <row r="17" spans="1:26" ht="33.75" customHeight="1" x14ac:dyDescent="0.25">
      <c r="A17" s="36">
        <v>131</v>
      </c>
      <c r="B17" s="3" t="s">
        <v>147</v>
      </c>
      <c r="C17" s="153"/>
      <c r="D17" s="153"/>
      <c r="E17" s="8"/>
      <c r="F17" s="8"/>
      <c r="G17" s="8"/>
      <c r="H17" s="8"/>
      <c r="I17" s="9"/>
      <c r="J17" s="9"/>
      <c r="K17" s="9"/>
      <c r="L17" s="9"/>
      <c r="M17" s="9"/>
      <c r="N17" s="9"/>
      <c r="O17" s="8"/>
      <c r="P17" s="8"/>
      <c r="Q17" s="8"/>
      <c r="R17" s="8"/>
      <c r="S17" s="8"/>
      <c r="T17" s="8"/>
      <c r="U17" s="9"/>
      <c r="V17" s="9"/>
      <c r="W17" s="9"/>
      <c r="X17" s="9"/>
      <c r="Y17" s="9"/>
      <c r="Z17" s="9"/>
    </row>
    <row r="18" spans="1:26" ht="33.75" customHeight="1" x14ac:dyDescent="0.25">
      <c r="A18" s="36">
        <v>132</v>
      </c>
      <c r="B18" s="3" t="s">
        <v>148</v>
      </c>
      <c r="C18" s="8"/>
      <c r="D18" s="8"/>
      <c r="E18" s="8"/>
      <c r="F18" s="8"/>
      <c r="G18" s="8"/>
      <c r="H18" s="8"/>
      <c r="I18" s="9"/>
      <c r="J18" s="9"/>
      <c r="K18" s="9"/>
      <c r="L18" s="9"/>
      <c r="M18" s="9"/>
      <c r="N18" s="9"/>
      <c r="O18" s="8"/>
      <c r="P18" s="8"/>
      <c r="Q18" s="8"/>
      <c r="R18" s="8"/>
      <c r="S18" s="8"/>
      <c r="T18" s="8"/>
      <c r="U18" s="9"/>
      <c r="V18" s="9"/>
      <c r="W18" s="9"/>
      <c r="X18" s="9"/>
      <c r="Y18" s="9"/>
      <c r="Z18" s="9"/>
    </row>
    <row r="19" spans="1:26" ht="33.75" customHeight="1" x14ac:dyDescent="0.25">
      <c r="A19" s="36">
        <v>133</v>
      </c>
      <c r="B19" s="3" t="s">
        <v>149</v>
      </c>
      <c r="C19" s="8"/>
      <c r="D19" s="8"/>
      <c r="E19" s="8"/>
      <c r="F19" s="8"/>
      <c r="G19" s="8"/>
      <c r="H19" s="8"/>
      <c r="I19" s="9"/>
      <c r="J19" s="9"/>
      <c r="K19" s="9"/>
      <c r="L19" s="9"/>
      <c r="M19" s="9"/>
      <c r="N19" s="9"/>
      <c r="O19" s="8"/>
      <c r="P19" s="8"/>
      <c r="Q19" s="8"/>
      <c r="R19" s="8"/>
      <c r="S19" s="8"/>
      <c r="T19" s="8"/>
      <c r="U19" s="9"/>
      <c r="V19" s="9"/>
      <c r="W19" s="9"/>
      <c r="X19" s="9"/>
      <c r="Y19" s="9"/>
      <c r="Z19" s="9"/>
    </row>
    <row r="20" spans="1:26" ht="33.75" customHeight="1" x14ac:dyDescent="0.25">
      <c r="A20" s="36">
        <v>134</v>
      </c>
      <c r="B20" s="3" t="s">
        <v>150</v>
      </c>
      <c r="C20" s="164">
        <v>396082</v>
      </c>
      <c r="D20" s="153">
        <v>45689</v>
      </c>
      <c r="E20" s="152">
        <v>396082</v>
      </c>
      <c r="F20" s="8"/>
      <c r="G20" s="8"/>
      <c r="H20" s="8"/>
      <c r="I20" s="9"/>
      <c r="J20" s="9"/>
      <c r="K20" s="9"/>
      <c r="L20" s="9"/>
      <c r="M20" s="9"/>
      <c r="N20" s="9"/>
      <c r="O20" s="8"/>
      <c r="P20" s="8"/>
      <c r="Q20" s="8"/>
      <c r="R20" s="8"/>
      <c r="S20" s="8"/>
      <c r="T20" s="8"/>
      <c r="U20" s="9"/>
      <c r="V20" s="9"/>
      <c r="W20" s="9"/>
      <c r="X20" s="9"/>
      <c r="Y20" s="9"/>
      <c r="Z20" s="9"/>
    </row>
    <row r="21" spans="1:26" ht="33.75" customHeight="1" x14ac:dyDescent="0.25">
      <c r="A21" s="36">
        <v>135</v>
      </c>
      <c r="B21" s="3" t="s">
        <v>151</v>
      </c>
      <c r="C21" s="152">
        <v>567811</v>
      </c>
      <c r="D21" s="153">
        <v>45700</v>
      </c>
      <c r="E21" s="152">
        <v>567811</v>
      </c>
      <c r="F21" s="8"/>
      <c r="G21" s="8"/>
      <c r="H21" s="8"/>
      <c r="I21" s="154">
        <v>567811</v>
      </c>
      <c r="J21" s="155">
        <v>45700</v>
      </c>
      <c r="K21" s="154">
        <v>567811</v>
      </c>
      <c r="L21" s="9"/>
      <c r="M21" s="9"/>
      <c r="N21" s="9"/>
      <c r="O21" s="152">
        <v>567811</v>
      </c>
      <c r="P21" s="153">
        <v>45700</v>
      </c>
      <c r="Q21" s="152">
        <v>567811</v>
      </c>
      <c r="R21" s="8"/>
      <c r="S21" s="8"/>
      <c r="T21" s="8"/>
      <c r="U21" s="154">
        <v>567811</v>
      </c>
      <c r="V21" s="155">
        <v>45700</v>
      </c>
      <c r="W21" s="154">
        <v>567811</v>
      </c>
      <c r="X21" s="9"/>
      <c r="Y21" s="9"/>
      <c r="Z21" s="9"/>
    </row>
    <row r="22" spans="1:26" ht="33.75" customHeight="1" x14ac:dyDescent="0.25">
      <c r="A22" s="36">
        <v>136</v>
      </c>
      <c r="B22" s="3" t="s">
        <v>152</v>
      </c>
      <c r="C22" s="8"/>
      <c r="D22" s="8"/>
      <c r="E22" s="8"/>
      <c r="F22" s="8"/>
      <c r="G22" s="8"/>
      <c r="H22" s="8"/>
      <c r="I22" s="9"/>
      <c r="J22" s="9"/>
      <c r="K22" s="9"/>
      <c r="L22" s="9"/>
      <c r="M22" s="9"/>
      <c r="N22" s="9"/>
      <c r="O22" s="8"/>
      <c r="P22" s="8"/>
      <c r="Q22" s="8"/>
      <c r="R22" s="8"/>
      <c r="S22" s="8"/>
      <c r="T22" s="8"/>
      <c r="U22" s="9"/>
      <c r="V22" s="9"/>
      <c r="W22" s="9"/>
      <c r="X22" s="9"/>
      <c r="Y22" s="9"/>
      <c r="Z22" s="9"/>
    </row>
    <row r="23" spans="1:26" ht="33.75" customHeight="1" x14ac:dyDescent="0.25">
      <c r="A23" s="36">
        <v>137</v>
      </c>
      <c r="B23" s="3" t="s">
        <v>153</v>
      </c>
      <c r="C23" s="8"/>
      <c r="D23" s="8"/>
      <c r="E23" s="8"/>
      <c r="F23" s="8"/>
      <c r="G23" s="8"/>
      <c r="H23" s="8"/>
      <c r="I23" s="9"/>
      <c r="J23" s="9"/>
      <c r="K23" s="9"/>
      <c r="L23" s="9"/>
      <c r="M23" s="9"/>
      <c r="N23" s="9"/>
      <c r="O23" s="8"/>
      <c r="P23" s="8"/>
      <c r="Q23" s="8"/>
      <c r="R23" s="8"/>
      <c r="S23" s="8"/>
      <c r="T23" s="8"/>
      <c r="U23" s="9"/>
      <c r="V23" s="9"/>
      <c r="W23" s="9"/>
      <c r="X23" s="9"/>
      <c r="Y23" s="9"/>
      <c r="Z23" s="9"/>
    </row>
    <row r="24" spans="1:26" ht="33.75" customHeight="1" x14ac:dyDescent="0.25">
      <c r="A24" s="36">
        <v>138</v>
      </c>
      <c r="B24" s="3" t="s">
        <v>154</v>
      </c>
      <c r="C24" s="8"/>
      <c r="D24" s="8"/>
      <c r="E24" s="8"/>
      <c r="F24" s="8"/>
      <c r="G24" s="8"/>
      <c r="H24" s="8"/>
      <c r="I24" s="9"/>
      <c r="J24" s="9"/>
      <c r="K24" s="9"/>
      <c r="L24" s="9"/>
      <c r="M24" s="9"/>
      <c r="N24" s="9"/>
      <c r="O24" s="8"/>
      <c r="P24" s="8"/>
      <c r="Q24" s="8"/>
      <c r="R24" s="8"/>
      <c r="S24" s="8"/>
      <c r="T24" s="8"/>
      <c r="U24" s="9"/>
      <c r="V24" s="9"/>
      <c r="W24" s="9"/>
      <c r="X24" s="9"/>
      <c r="Y24" s="9"/>
      <c r="Z24" s="9"/>
    </row>
    <row r="25" spans="1:26" ht="33.75" customHeight="1" x14ac:dyDescent="0.25">
      <c r="A25" s="36">
        <v>139</v>
      </c>
      <c r="B25" s="3" t="s">
        <v>155</v>
      </c>
      <c r="C25" s="8"/>
      <c r="D25" s="8"/>
      <c r="E25" s="8"/>
      <c r="F25" s="8"/>
      <c r="G25" s="8"/>
      <c r="H25" s="8"/>
      <c r="I25" s="9"/>
      <c r="J25" s="9"/>
      <c r="K25" s="9"/>
      <c r="L25" s="9"/>
      <c r="M25" s="9"/>
      <c r="N25" s="9"/>
      <c r="O25" s="8"/>
      <c r="P25" s="8"/>
      <c r="Q25" s="8"/>
      <c r="R25" s="8"/>
      <c r="S25" s="8"/>
      <c r="T25" s="8"/>
      <c r="U25" s="9"/>
      <c r="V25" s="9"/>
      <c r="W25" s="9"/>
      <c r="X25" s="9"/>
      <c r="Y25" s="9"/>
      <c r="Z25" s="9"/>
    </row>
    <row r="26" spans="1:26" ht="33.75" customHeight="1" x14ac:dyDescent="0.25">
      <c r="A26" s="36">
        <v>142</v>
      </c>
      <c r="B26" s="3" t="s">
        <v>156</v>
      </c>
      <c r="C26" s="8"/>
      <c r="D26" s="8"/>
      <c r="E26" s="8"/>
      <c r="F26" s="8"/>
      <c r="G26" s="8"/>
      <c r="H26" s="8"/>
      <c r="I26" s="9"/>
      <c r="J26" s="9"/>
      <c r="K26" s="9"/>
      <c r="L26" s="9"/>
      <c r="M26" s="9"/>
      <c r="N26" s="9"/>
      <c r="O26" s="8"/>
      <c r="P26" s="8"/>
      <c r="Q26" s="8"/>
      <c r="R26" s="8"/>
      <c r="S26" s="8"/>
      <c r="T26" s="8"/>
      <c r="U26" s="9"/>
      <c r="V26" s="9"/>
      <c r="W26" s="9"/>
      <c r="X26" s="154">
        <v>310505</v>
      </c>
      <c r="Y26" s="155">
        <v>45649</v>
      </c>
      <c r="Z26" s="9"/>
    </row>
    <row r="27" spans="1:26" ht="33.75" customHeight="1" x14ac:dyDescent="0.25">
      <c r="A27" s="36">
        <v>145</v>
      </c>
      <c r="B27" s="3" t="s">
        <v>157</v>
      </c>
      <c r="C27" s="8"/>
      <c r="D27" s="8"/>
      <c r="E27" s="8"/>
      <c r="F27" s="8"/>
      <c r="G27" s="8"/>
      <c r="H27" s="8"/>
      <c r="I27" s="9"/>
      <c r="J27" s="9"/>
      <c r="K27" s="9"/>
      <c r="L27" s="9"/>
      <c r="M27" s="9"/>
      <c r="N27" s="9"/>
      <c r="O27" s="8"/>
      <c r="P27" s="8"/>
      <c r="Q27" s="8"/>
      <c r="R27" s="8"/>
      <c r="S27" s="8"/>
      <c r="T27" s="8"/>
      <c r="U27" s="9"/>
      <c r="V27" s="9"/>
      <c r="W27" s="9"/>
      <c r="X27" s="9"/>
      <c r="Y27" s="9"/>
      <c r="Z27" s="9"/>
    </row>
    <row r="28" spans="1:26" ht="33.75" customHeight="1" x14ac:dyDescent="0.25">
      <c r="A28" s="36">
        <v>146</v>
      </c>
      <c r="B28" s="3" t="s">
        <v>158</v>
      </c>
      <c r="C28" s="8"/>
      <c r="D28" s="8"/>
      <c r="E28" s="8"/>
      <c r="F28" s="8"/>
      <c r="G28" s="8"/>
      <c r="H28" s="8"/>
      <c r="I28" s="9"/>
      <c r="J28" s="9"/>
      <c r="K28" s="9"/>
      <c r="L28" s="9"/>
      <c r="M28" s="9"/>
      <c r="N28" s="9"/>
      <c r="O28" s="8"/>
      <c r="P28" s="8"/>
      <c r="Q28" s="8"/>
      <c r="R28" s="8"/>
      <c r="S28" s="8"/>
      <c r="T28" s="8"/>
      <c r="U28" s="9"/>
      <c r="V28" s="9"/>
      <c r="W28" s="9"/>
      <c r="X28" s="9"/>
      <c r="Y28" s="9"/>
      <c r="Z28" s="9"/>
    </row>
    <row r="29" spans="1:26" ht="33.75" customHeight="1" x14ac:dyDescent="0.25">
      <c r="A29" s="36">
        <v>147</v>
      </c>
      <c r="B29" s="3" t="s">
        <v>159</v>
      </c>
      <c r="C29" s="8"/>
      <c r="D29" s="8"/>
      <c r="E29" s="8"/>
      <c r="F29" s="8"/>
      <c r="G29" s="8"/>
      <c r="H29" s="8"/>
      <c r="I29" s="9"/>
      <c r="J29" s="9"/>
      <c r="K29" s="9"/>
      <c r="L29" s="9"/>
      <c r="M29" s="9"/>
      <c r="N29" s="9"/>
      <c r="O29" s="8"/>
      <c r="P29" s="8"/>
      <c r="Q29" s="8"/>
      <c r="R29" s="8"/>
      <c r="S29" s="8"/>
      <c r="T29" s="8"/>
      <c r="U29" s="9"/>
      <c r="V29" s="9"/>
      <c r="W29" s="9"/>
      <c r="X29" s="9"/>
      <c r="Y29" s="9"/>
      <c r="Z29" s="9"/>
    </row>
    <row r="30" spans="1:26" ht="33.75" customHeight="1" x14ac:dyDescent="0.25">
      <c r="A30" s="36">
        <v>148</v>
      </c>
      <c r="B30" s="3" t="s">
        <v>160</v>
      </c>
      <c r="C30" s="8"/>
      <c r="D30" s="8"/>
      <c r="E30" s="8"/>
      <c r="F30" s="8"/>
      <c r="G30" s="8"/>
      <c r="H30" s="8"/>
      <c r="I30" s="9"/>
      <c r="J30" s="9"/>
      <c r="K30" s="9"/>
      <c r="L30" s="9"/>
      <c r="M30" s="9"/>
      <c r="N30" s="9"/>
      <c r="O30" s="8"/>
      <c r="P30" s="8"/>
      <c r="Q30" s="8"/>
      <c r="R30" s="8"/>
      <c r="S30" s="8"/>
      <c r="T30" s="8"/>
      <c r="U30" s="9"/>
      <c r="V30" s="9"/>
      <c r="W30" s="9"/>
      <c r="X30" s="9"/>
      <c r="Y30" s="9"/>
      <c r="Z30" s="9"/>
    </row>
    <row r="31" spans="1:26" ht="33.75" customHeight="1" x14ac:dyDescent="0.25">
      <c r="A31" s="36">
        <v>152</v>
      </c>
      <c r="B31" s="3" t="s">
        <v>260</v>
      </c>
      <c r="C31" s="8"/>
      <c r="D31" s="8"/>
      <c r="E31" s="8"/>
      <c r="F31" s="8"/>
      <c r="G31" s="8"/>
      <c r="H31" s="8"/>
      <c r="I31" s="9"/>
      <c r="J31" s="9"/>
      <c r="K31" s="9"/>
      <c r="L31" s="9"/>
      <c r="M31" s="9"/>
      <c r="N31" s="9"/>
      <c r="O31" s="8"/>
      <c r="P31" s="8"/>
      <c r="Q31" s="8"/>
      <c r="R31" s="8"/>
      <c r="S31" s="8"/>
      <c r="T31" s="8"/>
      <c r="U31" s="9"/>
      <c r="V31" s="9"/>
      <c r="W31" s="9"/>
      <c r="X31" s="9"/>
      <c r="Y31" s="9"/>
      <c r="Z31" s="9"/>
    </row>
    <row r="32" spans="1:26" ht="33.75" customHeight="1" x14ac:dyDescent="0.25">
      <c r="A32" s="36">
        <v>153</v>
      </c>
      <c r="B32" s="3" t="s">
        <v>161</v>
      </c>
      <c r="C32" s="8"/>
      <c r="D32" s="8"/>
      <c r="E32" s="8"/>
      <c r="F32" s="8"/>
      <c r="G32" s="8"/>
      <c r="H32" s="8"/>
      <c r="I32" s="9"/>
      <c r="J32" s="9"/>
      <c r="K32" s="9"/>
      <c r="L32" s="9"/>
      <c r="M32" s="9"/>
      <c r="N32" s="9"/>
      <c r="O32" s="8"/>
      <c r="P32" s="8"/>
      <c r="Q32" s="8"/>
      <c r="R32" s="8"/>
      <c r="S32" s="8"/>
      <c r="T32" s="8"/>
      <c r="U32" s="9"/>
      <c r="V32" s="9"/>
      <c r="W32" s="9"/>
      <c r="X32" s="9"/>
      <c r="Y32" s="9"/>
      <c r="Z32" s="9"/>
    </row>
    <row r="33" spans="1:26" ht="33.75" customHeight="1" x14ac:dyDescent="0.25">
      <c r="A33" s="36">
        <v>154</v>
      </c>
      <c r="B33" s="3" t="s">
        <v>162</v>
      </c>
      <c r="C33" s="8"/>
      <c r="D33" s="8"/>
      <c r="E33" s="8"/>
      <c r="F33" s="8"/>
      <c r="G33" s="8"/>
      <c r="H33" s="8"/>
      <c r="I33" s="9"/>
      <c r="J33" s="9"/>
      <c r="K33" s="9"/>
      <c r="L33" s="9"/>
      <c r="M33" s="9"/>
      <c r="N33" s="9"/>
      <c r="O33" s="8"/>
      <c r="P33" s="8"/>
      <c r="Q33" s="8"/>
      <c r="R33" s="8"/>
      <c r="S33" s="8"/>
      <c r="T33" s="8"/>
      <c r="U33" s="9"/>
      <c r="V33" s="9"/>
      <c r="W33" s="9"/>
      <c r="X33" s="9"/>
      <c r="Y33" s="9"/>
      <c r="Z33" s="9"/>
    </row>
    <row r="34" spans="1:26" ht="33.75" customHeight="1" x14ac:dyDescent="0.25">
      <c r="A34" s="36">
        <v>156</v>
      </c>
      <c r="B34" s="3" t="s">
        <v>163</v>
      </c>
      <c r="C34" s="8"/>
      <c r="D34" s="8"/>
      <c r="E34" s="8"/>
      <c r="F34" s="8"/>
      <c r="G34" s="8"/>
      <c r="H34" s="8"/>
      <c r="I34" s="9"/>
      <c r="J34" s="9"/>
      <c r="K34" s="9"/>
      <c r="L34" s="9"/>
      <c r="M34" s="9"/>
      <c r="N34" s="9"/>
      <c r="O34" s="8"/>
      <c r="P34" s="8"/>
      <c r="Q34" s="8"/>
      <c r="R34" s="8"/>
      <c r="S34" s="8"/>
      <c r="T34" s="8"/>
      <c r="U34" s="9"/>
      <c r="V34" s="9"/>
      <c r="W34" s="9"/>
      <c r="X34" s="9"/>
      <c r="Y34" s="9"/>
      <c r="Z34" s="9"/>
    </row>
    <row r="35" spans="1:26" ht="33.75" customHeight="1" x14ac:dyDescent="0.25">
      <c r="A35" s="36">
        <v>158</v>
      </c>
      <c r="B35" s="3" t="s">
        <v>164</v>
      </c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8"/>
      <c r="P35" s="8"/>
      <c r="Q35" s="8"/>
      <c r="R35" s="8"/>
      <c r="S35" s="8"/>
      <c r="T35" s="8"/>
      <c r="U35" s="9"/>
      <c r="V35" s="9"/>
      <c r="W35" s="9"/>
      <c r="X35" s="9"/>
      <c r="Y35" s="9"/>
      <c r="Z35" s="9"/>
    </row>
    <row r="36" spans="1:26" ht="33.75" customHeight="1" x14ac:dyDescent="0.25">
      <c r="A36" s="36">
        <v>159</v>
      </c>
      <c r="B36" s="3" t="s">
        <v>165</v>
      </c>
      <c r="C36" s="8"/>
      <c r="D36" s="8"/>
      <c r="E36" s="8"/>
      <c r="F36" s="8"/>
      <c r="G36" s="8"/>
      <c r="H36" s="8"/>
      <c r="I36" s="9"/>
      <c r="J36" s="9"/>
      <c r="K36" s="9"/>
      <c r="L36" s="9"/>
      <c r="M36" s="9"/>
      <c r="N36" s="9"/>
      <c r="O36" s="8"/>
      <c r="P36" s="8"/>
      <c r="Q36" s="8"/>
      <c r="R36" s="8"/>
      <c r="S36" s="8"/>
      <c r="T36" s="8"/>
      <c r="U36" s="9"/>
      <c r="V36" s="9"/>
      <c r="W36" s="9"/>
      <c r="X36" s="9"/>
      <c r="Y36" s="9"/>
      <c r="Z36" s="9"/>
    </row>
    <row r="37" spans="1:26" ht="33.75" customHeight="1" x14ac:dyDescent="0.25">
      <c r="A37" s="36">
        <v>160</v>
      </c>
      <c r="B37" s="3" t="s">
        <v>166</v>
      </c>
      <c r="C37" s="8"/>
      <c r="D37" s="8"/>
      <c r="E37" s="8"/>
      <c r="F37" s="8"/>
      <c r="G37" s="8"/>
      <c r="H37" s="8"/>
      <c r="I37" s="9"/>
      <c r="J37" s="9"/>
      <c r="K37" s="9"/>
      <c r="L37" s="9"/>
      <c r="M37" s="9"/>
      <c r="N37" s="9"/>
      <c r="O37" s="8"/>
      <c r="P37" s="8"/>
      <c r="Q37" s="8"/>
      <c r="R37" s="8"/>
      <c r="S37" s="8"/>
      <c r="T37" s="8"/>
      <c r="U37" s="9"/>
      <c r="V37" s="9"/>
      <c r="W37" s="9"/>
      <c r="X37" s="9"/>
      <c r="Y37" s="9"/>
      <c r="Z37" s="9"/>
    </row>
    <row r="38" spans="1:26" ht="33.75" customHeight="1" x14ac:dyDescent="0.25">
      <c r="A38" s="36">
        <v>161</v>
      </c>
      <c r="B38" s="3" t="s">
        <v>167</v>
      </c>
      <c r="C38" s="8"/>
      <c r="D38" s="8"/>
      <c r="E38" s="8"/>
      <c r="F38" s="8"/>
      <c r="G38" s="8"/>
      <c r="H38" s="8"/>
      <c r="I38" s="9"/>
      <c r="J38" s="9"/>
      <c r="K38" s="9"/>
      <c r="L38" s="9"/>
      <c r="M38" s="9"/>
      <c r="N38" s="9"/>
      <c r="O38" s="8"/>
      <c r="P38" s="8"/>
      <c r="Q38" s="8"/>
      <c r="R38" s="8"/>
      <c r="S38" s="8"/>
      <c r="T38" s="8"/>
      <c r="U38" s="9"/>
      <c r="V38" s="9"/>
      <c r="W38" s="9"/>
      <c r="X38" s="9"/>
      <c r="Y38" s="9"/>
      <c r="Z38" s="9"/>
    </row>
    <row r="39" spans="1:26" ht="33.75" customHeight="1" x14ac:dyDescent="0.25">
      <c r="A39" s="36">
        <v>162</v>
      </c>
      <c r="B39" s="3" t="s">
        <v>168</v>
      </c>
      <c r="C39" s="8"/>
      <c r="D39" s="8"/>
      <c r="E39" s="8"/>
      <c r="F39" s="8"/>
      <c r="G39" s="8"/>
      <c r="H39" s="8"/>
      <c r="I39" s="9"/>
      <c r="J39" s="9"/>
      <c r="K39" s="9"/>
      <c r="L39" s="9"/>
      <c r="M39" s="9"/>
      <c r="N39" s="9"/>
      <c r="O39" s="8"/>
      <c r="P39" s="8"/>
      <c r="Q39" s="8"/>
      <c r="R39" s="8"/>
      <c r="S39" s="8"/>
      <c r="T39" s="8"/>
      <c r="U39" s="9"/>
      <c r="V39" s="9"/>
      <c r="W39" s="9"/>
      <c r="X39" s="9"/>
      <c r="Y39" s="9"/>
      <c r="Z39" s="9"/>
    </row>
    <row r="40" spans="1:26" ht="33.75" customHeight="1" x14ac:dyDescent="0.25">
      <c r="A40" s="36">
        <v>163</v>
      </c>
      <c r="B40" s="3" t="s">
        <v>169</v>
      </c>
      <c r="C40" s="8"/>
      <c r="D40" s="8"/>
      <c r="E40" s="8"/>
      <c r="F40" s="8"/>
      <c r="G40" s="8"/>
      <c r="H40" s="8"/>
      <c r="I40" s="9"/>
      <c r="J40" s="9"/>
      <c r="K40" s="9"/>
      <c r="L40" s="9"/>
      <c r="M40" s="9"/>
      <c r="N40" s="9"/>
      <c r="O40" s="8"/>
      <c r="P40" s="8"/>
      <c r="Q40" s="8"/>
      <c r="R40" s="8"/>
      <c r="S40" s="8"/>
      <c r="T40" s="8"/>
      <c r="U40" s="9"/>
      <c r="V40" s="9"/>
      <c r="W40" s="9"/>
      <c r="X40" s="9"/>
      <c r="Y40" s="9"/>
      <c r="Z40" s="9"/>
    </row>
    <row r="41" spans="1:26" ht="33.75" customHeight="1" x14ac:dyDescent="0.25">
      <c r="A41" s="36">
        <v>164</v>
      </c>
      <c r="B41" s="3" t="s">
        <v>170</v>
      </c>
      <c r="C41" s="8"/>
      <c r="D41" s="8"/>
      <c r="E41" s="8"/>
      <c r="F41" s="8"/>
      <c r="G41" s="8"/>
      <c r="H41" s="8"/>
      <c r="I41" s="9"/>
      <c r="J41" s="9"/>
      <c r="K41" s="9"/>
      <c r="L41" s="9"/>
      <c r="M41" s="9"/>
      <c r="N41" s="9"/>
      <c r="O41" s="8"/>
      <c r="P41" s="8"/>
      <c r="Q41" s="8"/>
      <c r="R41" s="8"/>
      <c r="S41" s="8"/>
      <c r="T41" s="8"/>
      <c r="U41" s="9"/>
      <c r="V41" s="9"/>
      <c r="W41" s="9"/>
      <c r="X41" s="9"/>
      <c r="Y41" s="9"/>
      <c r="Z41" s="9"/>
    </row>
    <row r="42" spans="1:26" ht="33.75" customHeight="1" x14ac:dyDescent="0.25">
      <c r="A42" s="36">
        <v>165</v>
      </c>
      <c r="B42" s="3" t="s">
        <v>171</v>
      </c>
      <c r="C42" s="8"/>
      <c r="D42" s="8"/>
      <c r="E42" s="8"/>
      <c r="F42" s="8"/>
      <c r="G42" s="8"/>
      <c r="H42" s="8"/>
      <c r="I42" s="9"/>
      <c r="J42" s="9"/>
      <c r="K42" s="9"/>
      <c r="L42" s="9"/>
      <c r="M42" s="9"/>
      <c r="N42" s="9"/>
      <c r="O42" s="8"/>
      <c r="P42" s="8"/>
      <c r="Q42" s="8"/>
      <c r="R42" s="8"/>
      <c r="S42" s="8"/>
      <c r="T42" s="8"/>
      <c r="U42" s="9"/>
      <c r="V42" s="9"/>
      <c r="W42" s="9"/>
      <c r="X42" s="9"/>
      <c r="Y42" s="9"/>
      <c r="Z42" s="9"/>
    </row>
    <row r="43" spans="1:26" ht="33.75" customHeight="1" x14ac:dyDescent="0.25">
      <c r="A43" s="36">
        <v>166</v>
      </c>
      <c r="B43" s="3" t="s">
        <v>172</v>
      </c>
      <c r="C43" s="8"/>
      <c r="D43" s="8"/>
      <c r="E43" s="8"/>
      <c r="F43" s="8"/>
      <c r="G43" s="8"/>
      <c r="H43" s="8"/>
      <c r="I43" s="9"/>
      <c r="J43" s="9"/>
      <c r="K43" s="9"/>
      <c r="L43" s="9"/>
      <c r="M43" s="9"/>
      <c r="N43" s="9"/>
      <c r="O43" s="8"/>
      <c r="P43" s="8"/>
      <c r="Q43" s="8"/>
      <c r="R43" s="8"/>
      <c r="S43" s="8"/>
      <c r="T43" s="8"/>
      <c r="U43" s="9"/>
      <c r="V43" s="9"/>
      <c r="W43" s="9"/>
      <c r="X43" s="9"/>
      <c r="Y43" s="9"/>
      <c r="Z43" s="9"/>
    </row>
    <row r="44" spans="1:26" ht="33.75" customHeight="1" x14ac:dyDescent="0.25">
      <c r="A44" s="36">
        <v>168</v>
      </c>
      <c r="B44" s="3" t="s">
        <v>173</v>
      </c>
      <c r="C44" s="8"/>
      <c r="D44" s="8"/>
      <c r="E44" s="8"/>
      <c r="F44" s="8"/>
      <c r="G44" s="8"/>
      <c r="H44" s="8"/>
      <c r="I44" s="9"/>
      <c r="J44" s="9"/>
      <c r="K44" s="9"/>
      <c r="L44" s="9"/>
      <c r="M44" s="9"/>
      <c r="N44" s="9"/>
      <c r="O44" s="8"/>
      <c r="P44" s="8"/>
      <c r="Q44" s="8"/>
      <c r="R44" s="8"/>
      <c r="S44" s="8"/>
      <c r="T44" s="8"/>
      <c r="U44" s="9"/>
      <c r="V44" s="9"/>
      <c r="W44" s="9"/>
      <c r="X44" s="9"/>
      <c r="Y44" s="9"/>
      <c r="Z44" s="9"/>
    </row>
    <row r="45" spans="1:26" ht="33.75" customHeight="1" x14ac:dyDescent="0.25">
      <c r="A45" s="36">
        <v>169</v>
      </c>
      <c r="B45" s="3" t="s">
        <v>174</v>
      </c>
      <c r="C45" s="8"/>
      <c r="D45" s="8"/>
      <c r="E45" s="8"/>
      <c r="F45" s="8"/>
      <c r="G45" s="8"/>
      <c r="H45" s="8"/>
      <c r="I45" s="9"/>
      <c r="J45" s="9"/>
      <c r="K45" s="9"/>
      <c r="L45" s="9"/>
      <c r="M45" s="9"/>
      <c r="N45" s="9"/>
      <c r="O45" s="8"/>
      <c r="P45" s="8"/>
      <c r="Q45" s="8"/>
      <c r="R45" s="8"/>
      <c r="S45" s="8"/>
      <c r="T45" s="8"/>
      <c r="U45" s="9"/>
      <c r="V45" s="9"/>
      <c r="W45" s="9"/>
      <c r="X45" s="9"/>
      <c r="Y45" s="9"/>
      <c r="Z45" s="9"/>
    </row>
    <row r="46" spans="1:26" ht="33.75" customHeight="1" x14ac:dyDescent="0.25">
      <c r="A46" s="36">
        <v>170</v>
      </c>
      <c r="B46" s="3" t="s">
        <v>175</v>
      </c>
      <c r="C46" s="8"/>
      <c r="D46" s="8"/>
      <c r="E46" s="8"/>
      <c r="F46" s="8"/>
      <c r="G46" s="8"/>
      <c r="H46" s="8"/>
      <c r="I46" s="9"/>
      <c r="J46" s="9"/>
      <c r="K46" s="9"/>
      <c r="L46" s="9"/>
      <c r="M46" s="9"/>
      <c r="N46" s="9"/>
      <c r="O46" s="8"/>
      <c r="P46" s="8"/>
      <c r="Q46" s="8"/>
      <c r="R46" s="8"/>
      <c r="S46" s="8"/>
      <c r="T46" s="8"/>
      <c r="U46" s="9"/>
      <c r="V46" s="9"/>
      <c r="W46" s="9"/>
      <c r="X46" s="9"/>
      <c r="Y46" s="9"/>
      <c r="Z46" s="9"/>
    </row>
    <row r="47" spans="1:26" ht="33.75" customHeight="1" x14ac:dyDescent="0.25">
      <c r="A47" s="36">
        <v>171</v>
      </c>
      <c r="B47" s="3" t="s">
        <v>176</v>
      </c>
      <c r="C47" s="8"/>
      <c r="D47" s="8"/>
      <c r="E47" s="8"/>
      <c r="F47" s="8"/>
      <c r="G47" s="8"/>
      <c r="H47" s="8"/>
      <c r="I47" s="9"/>
      <c r="J47" s="9"/>
      <c r="K47" s="9"/>
      <c r="L47" s="9"/>
      <c r="M47" s="9"/>
      <c r="N47" s="9"/>
      <c r="O47" s="8"/>
      <c r="P47" s="8"/>
      <c r="Q47" s="8"/>
      <c r="R47" s="8"/>
      <c r="S47" s="8"/>
      <c r="T47" s="8"/>
      <c r="U47" s="9"/>
      <c r="V47" s="9"/>
      <c r="W47" s="9"/>
      <c r="X47" s="9"/>
      <c r="Y47" s="9"/>
      <c r="Z47" s="9"/>
    </row>
    <row r="48" spans="1:26" ht="33.75" customHeight="1" x14ac:dyDescent="0.25">
      <c r="A48" s="36">
        <v>172</v>
      </c>
      <c r="B48" s="3" t="s">
        <v>177</v>
      </c>
      <c r="C48" s="8"/>
      <c r="D48" s="8"/>
      <c r="E48" s="8"/>
      <c r="F48" s="8"/>
      <c r="G48" s="8"/>
      <c r="H48" s="8"/>
      <c r="I48" s="9"/>
      <c r="J48" s="9"/>
      <c r="K48" s="9"/>
      <c r="L48" s="9"/>
      <c r="M48" s="9"/>
      <c r="N48" s="9"/>
      <c r="O48" s="8"/>
      <c r="P48" s="8"/>
      <c r="Q48" s="8"/>
      <c r="R48" s="8"/>
      <c r="S48" s="8"/>
      <c r="T48" s="8"/>
      <c r="U48" s="9"/>
      <c r="V48" s="9"/>
      <c r="W48" s="9"/>
      <c r="X48" s="9"/>
      <c r="Y48" s="9"/>
      <c r="Z48" s="9"/>
    </row>
    <row r="49" spans="1:26" ht="33.75" customHeight="1" x14ac:dyDescent="0.25">
      <c r="A49" s="36">
        <v>173</v>
      </c>
      <c r="B49" s="3" t="s">
        <v>178</v>
      </c>
      <c r="C49" s="8"/>
      <c r="D49" s="8"/>
      <c r="E49" s="8"/>
      <c r="F49" s="8"/>
      <c r="G49" s="8"/>
      <c r="H49" s="8"/>
      <c r="I49" s="9"/>
      <c r="J49" s="9"/>
      <c r="K49" s="9"/>
      <c r="L49" s="9"/>
      <c r="M49" s="9"/>
      <c r="N49" s="9"/>
      <c r="O49" s="8"/>
      <c r="P49" s="8"/>
      <c r="Q49" s="8"/>
      <c r="R49" s="8"/>
      <c r="S49" s="8"/>
      <c r="T49" s="8"/>
      <c r="U49" s="9"/>
      <c r="V49" s="9"/>
      <c r="W49" s="9"/>
      <c r="X49" s="9"/>
      <c r="Y49" s="9"/>
      <c r="Z49" s="9"/>
    </row>
    <row r="50" spans="1:26" ht="33.75" customHeight="1" x14ac:dyDescent="0.25">
      <c r="A50" s="36">
        <v>174</v>
      </c>
      <c r="B50" s="3" t="s">
        <v>179</v>
      </c>
      <c r="C50" s="8"/>
      <c r="D50" s="8"/>
      <c r="E50" s="8"/>
      <c r="F50" s="8"/>
      <c r="G50" s="8"/>
      <c r="H50" s="8"/>
      <c r="I50" s="9"/>
      <c r="J50" s="9"/>
      <c r="K50" s="9"/>
      <c r="L50" s="9"/>
      <c r="M50" s="9"/>
      <c r="N50" s="9"/>
      <c r="O50" s="8"/>
      <c r="P50" s="8"/>
      <c r="Q50" s="8"/>
      <c r="R50" s="8"/>
      <c r="S50" s="8"/>
      <c r="T50" s="8"/>
      <c r="U50" s="9"/>
      <c r="V50" s="9"/>
      <c r="W50" s="9"/>
      <c r="X50" s="9"/>
      <c r="Y50" s="9"/>
      <c r="Z50" s="9"/>
    </row>
    <row r="51" spans="1:26" ht="33.75" customHeight="1" x14ac:dyDescent="0.25">
      <c r="A51" s="36">
        <v>175</v>
      </c>
      <c r="B51" s="3" t="s">
        <v>180</v>
      </c>
      <c r="C51" s="8"/>
      <c r="D51" s="8"/>
      <c r="E51" s="8"/>
      <c r="F51" s="8"/>
      <c r="G51" s="8"/>
      <c r="H51" s="8"/>
      <c r="I51" s="9"/>
      <c r="J51" s="9"/>
      <c r="K51" s="9"/>
      <c r="L51" s="9"/>
      <c r="M51" s="9"/>
      <c r="N51" s="9"/>
      <c r="O51" s="8"/>
      <c r="P51" s="8"/>
      <c r="Q51" s="8"/>
      <c r="R51" s="8"/>
      <c r="S51" s="8"/>
      <c r="T51" s="8"/>
      <c r="U51" s="9"/>
      <c r="V51" s="9"/>
      <c r="W51" s="9"/>
      <c r="X51" s="9"/>
      <c r="Y51" s="9"/>
      <c r="Z51" s="9"/>
    </row>
    <row r="52" spans="1:26" ht="33.75" customHeight="1" x14ac:dyDescent="0.25">
      <c r="A52" s="36">
        <v>177</v>
      </c>
      <c r="B52" s="3" t="s">
        <v>181</v>
      </c>
      <c r="C52" s="8"/>
      <c r="D52" s="8"/>
      <c r="E52" s="8"/>
      <c r="F52" s="8"/>
      <c r="G52" s="8"/>
      <c r="H52" s="8"/>
      <c r="I52" s="9"/>
      <c r="J52" s="9"/>
      <c r="K52" s="9"/>
      <c r="L52" s="9"/>
      <c r="M52" s="9"/>
      <c r="N52" s="9"/>
      <c r="O52" s="8"/>
      <c r="P52" s="8"/>
      <c r="Q52" s="8"/>
      <c r="R52" s="8"/>
      <c r="S52" s="8"/>
      <c r="T52" s="8"/>
      <c r="U52" s="9"/>
      <c r="V52" s="9"/>
      <c r="W52" s="9"/>
      <c r="X52" s="9"/>
      <c r="Y52" s="9"/>
      <c r="Z52" s="9"/>
    </row>
    <row r="53" spans="1:26" ht="33.75" customHeight="1" x14ac:dyDescent="0.25">
      <c r="A53" s="36">
        <v>178</v>
      </c>
      <c r="B53" s="3" t="s">
        <v>182</v>
      </c>
      <c r="C53" s="8"/>
      <c r="D53" s="8"/>
      <c r="E53" s="8"/>
      <c r="F53" s="8"/>
      <c r="G53" s="8"/>
      <c r="H53" s="8"/>
      <c r="I53" s="9"/>
      <c r="J53" s="9"/>
      <c r="K53" s="9"/>
      <c r="L53" s="9"/>
      <c r="M53" s="9"/>
      <c r="N53" s="9"/>
      <c r="O53" s="8"/>
      <c r="P53" s="8"/>
      <c r="Q53" s="8"/>
      <c r="R53" s="8"/>
      <c r="S53" s="8"/>
      <c r="T53" s="8"/>
      <c r="U53" s="9"/>
      <c r="V53" s="9"/>
      <c r="W53" s="9"/>
      <c r="X53" s="9"/>
      <c r="Y53" s="9"/>
      <c r="Z53" s="9"/>
    </row>
    <row r="54" spans="1:26" ht="33.75" customHeight="1" x14ac:dyDescent="0.25">
      <c r="A54" s="36">
        <v>179</v>
      </c>
      <c r="B54" s="3" t="s">
        <v>183</v>
      </c>
      <c r="C54" s="8"/>
      <c r="D54" s="8"/>
      <c r="E54" s="8"/>
      <c r="F54" s="8"/>
      <c r="G54" s="8"/>
      <c r="H54" s="8"/>
      <c r="I54" s="9"/>
      <c r="J54" s="9"/>
      <c r="K54" s="9"/>
      <c r="L54" s="9"/>
      <c r="M54" s="9"/>
      <c r="N54" s="9"/>
      <c r="O54" s="8"/>
      <c r="P54" s="8"/>
      <c r="Q54" s="8"/>
      <c r="R54" s="8"/>
      <c r="S54" s="8"/>
      <c r="T54" s="8"/>
      <c r="U54" s="9"/>
      <c r="V54" s="9"/>
      <c r="W54" s="9"/>
      <c r="X54" s="9"/>
      <c r="Y54" s="9"/>
      <c r="Z54" s="9"/>
    </row>
    <row r="55" spans="1:26" ht="33.75" customHeight="1" x14ac:dyDescent="0.25">
      <c r="A55" s="36">
        <v>180</v>
      </c>
      <c r="B55" s="3" t="s">
        <v>184</v>
      </c>
      <c r="C55" s="8"/>
      <c r="D55" s="8"/>
      <c r="E55" s="8"/>
      <c r="F55" s="8"/>
      <c r="G55" s="8"/>
      <c r="H55" s="8"/>
      <c r="I55" s="9"/>
      <c r="J55" s="9"/>
      <c r="K55" s="9"/>
      <c r="L55" s="9"/>
      <c r="M55" s="9"/>
      <c r="N55" s="9"/>
      <c r="O55" s="8"/>
      <c r="P55" s="8"/>
      <c r="Q55" s="8"/>
      <c r="R55" s="8"/>
      <c r="S55" s="8"/>
      <c r="T55" s="8"/>
      <c r="U55" s="9"/>
      <c r="V55" s="9"/>
      <c r="W55" s="9"/>
      <c r="X55" s="9"/>
      <c r="Y55" s="9"/>
      <c r="Z55" s="9"/>
    </row>
    <row r="56" spans="1:26" ht="33.75" customHeight="1" x14ac:dyDescent="0.25">
      <c r="A56" s="36">
        <v>183</v>
      </c>
      <c r="B56" s="3" t="s">
        <v>185</v>
      </c>
      <c r="C56" s="8"/>
      <c r="D56" s="8"/>
      <c r="E56" s="8"/>
      <c r="F56" s="8"/>
      <c r="G56" s="8"/>
      <c r="H56" s="8"/>
      <c r="I56" s="9"/>
      <c r="J56" s="9"/>
      <c r="K56" s="9"/>
      <c r="L56" s="9"/>
      <c r="M56" s="9"/>
      <c r="N56" s="9"/>
      <c r="O56" s="8"/>
      <c r="P56" s="8"/>
      <c r="Q56" s="8"/>
      <c r="R56" s="8"/>
      <c r="S56" s="8"/>
      <c r="T56" s="8"/>
      <c r="U56" s="9"/>
      <c r="V56" s="9"/>
      <c r="W56" s="9"/>
      <c r="X56" s="9"/>
      <c r="Y56" s="9"/>
      <c r="Z56" s="9"/>
    </row>
    <row r="57" spans="1:26" ht="33.75" customHeight="1" x14ac:dyDescent="0.25">
      <c r="A57" s="36">
        <v>184</v>
      </c>
      <c r="B57" s="3" t="s">
        <v>186</v>
      </c>
      <c r="C57" s="8"/>
      <c r="D57" s="8"/>
      <c r="E57" s="8"/>
      <c r="F57" s="8"/>
      <c r="G57" s="8"/>
      <c r="H57" s="8"/>
      <c r="I57" s="9"/>
      <c r="J57" s="9"/>
      <c r="K57" s="9"/>
      <c r="L57" s="9"/>
      <c r="M57" s="9"/>
      <c r="N57" s="9"/>
      <c r="O57" s="8"/>
      <c r="P57" s="8"/>
      <c r="Q57" s="8"/>
      <c r="R57" s="8"/>
      <c r="S57" s="8"/>
      <c r="T57" s="8"/>
      <c r="U57" s="9"/>
      <c r="V57" s="9"/>
      <c r="W57" s="9"/>
      <c r="X57" s="9"/>
      <c r="Y57" s="9"/>
      <c r="Z57" s="9"/>
    </row>
    <row r="58" spans="1:26" ht="33.75" customHeight="1" x14ac:dyDescent="0.25">
      <c r="A58" s="36">
        <v>186</v>
      </c>
      <c r="B58" s="3" t="s">
        <v>187</v>
      </c>
      <c r="C58" s="8"/>
      <c r="D58" s="8"/>
      <c r="E58" s="8"/>
      <c r="F58" s="8"/>
      <c r="G58" s="8"/>
      <c r="H58" s="8"/>
      <c r="I58" s="9"/>
      <c r="J58" s="9"/>
      <c r="K58" s="9"/>
      <c r="L58" s="9"/>
      <c r="M58" s="9"/>
      <c r="N58" s="9"/>
      <c r="O58" s="8"/>
      <c r="P58" s="8"/>
      <c r="Q58" s="8"/>
      <c r="R58" s="8"/>
      <c r="S58" s="8"/>
      <c r="T58" s="8"/>
      <c r="U58" s="9"/>
      <c r="V58" s="9"/>
      <c r="W58" s="9"/>
      <c r="X58" s="9"/>
      <c r="Y58" s="9"/>
      <c r="Z58" s="9"/>
    </row>
    <row r="59" spans="1:26" ht="33.75" customHeight="1" x14ac:dyDescent="0.25">
      <c r="A59" s="36">
        <v>187</v>
      </c>
      <c r="B59" s="3" t="s">
        <v>188</v>
      </c>
      <c r="C59" s="8"/>
      <c r="D59" s="8"/>
      <c r="E59" s="8"/>
      <c r="F59" s="8"/>
      <c r="G59" s="8"/>
      <c r="H59" s="8"/>
      <c r="I59" s="9"/>
      <c r="J59" s="9"/>
      <c r="K59" s="9"/>
      <c r="L59" s="9"/>
      <c r="M59" s="9"/>
      <c r="N59" s="9"/>
      <c r="O59" s="8"/>
      <c r="P59" s="8"/>
      <c r="Q59" s="8"/>
      <c r="R59" s="8"/>
      <c r="S59" s="8"/>
      <c r="T59" s="8"/>
      <c r="U59" s="9"/>
      <c r="V59" s="9"/>
      <c r="W59" s="9"/>
      <c r="X59" s="9"/>
      <c r="Y59" s="9"/>
      <c r="Z59" s="9"/>
    </row>
    <row r="60" spans="1:26" ht="33.75" customHeight="1" x14ac:dyDescent="0.25">
      <c r="A60" s="39">
        <v>201</v>
      </c>
      <c r="B60" s="3" t="s">
        <v>189</v>
      </c>
      <c r="C60" s="8"/>
      <c r="D60" s="8"/>
      <c r="E60" s="8"/>
      <c r="F60" s="8"/>
      <c r="G60" s="8"/>
      <c r="H60" s="8"/>
      <c r="I60" s="9"/>
      <c r="J60" s="9"/>
      <c r="K60" s="9"/>
      <c r="L60" s="9"/>
      <c r="M60" s="9"/>
      <c r="N60" s="9"/>
      <c r="O60" s="8"/>
      <c r="P60" s="8"/>
      <c r="Q60" s="8"/>
      <c r="R60" s="8"/>
      <c r="S60" s="8"/>
      <c r="T60" s="8"/>
      <c r="U60" s="9"/>
      <c r="V60" s="9"/>
      <c r="W60" s="9"/>
      <c r="X60" s="9"/>
      <c r="Y60" s="9"/>
      <c r="Z60" s="9"/>
    </row>
    <row r="61" spans="1:26" ht="33.75" customHeight="1" x14ac:dyDescent="0.25">
      <c r="A61" s="39">
        <v>202</v>
      </c>
      <c r="B61" s="3" t="s">
        <v>190</v>
      </c>
      <c r="C61" s="8"/>
      <c r="D61" s="8"/>
      <c r="E61" s="8"/>
      <c r="F61" s="8"/>
      <c r="G61" s="8"/>
      <c r="H61" s="8"/>
      <c r="I61" s="9"/>
      <c r="J61" s="9"/>
      <c r="K61" s="9"/>
      <c r="L61" s="9"/>
      <c r="M61" s="9"/>
      <c r="N61" s="9"/>
      <c r="O61" s="8"/>
      <c r="P61" s="8"/>
      <c r="Q61" s="8"/>
      <c r="R61" s="8"/>
      <c r="S61" s="8"/>
      <c r="T61" s="8"/>
      <c r="U61" s="9"/>
      <c r="V61" s="9"/>
      <c r="W61" s="9"/>
      <c r="X61" s="9"/>
      <c r="Y61" s="9"/>
      <c r="Z61" s="9"/>
    </row>
    <row r="62" spans="1:26" ht="33.75" customHeight="1" x14ac:dyDescent="0.25">
      <c r="A62" s="39">
        <v>203</v>
      </c>
      <c r="B62" s="3" t="s">
        <v>191</v>
      </c>
      <c r="C62" s="8"/>
      <c r="D62" s="8"/>
      <c r="E62" s="8"/>
      <c r="F62" s="152">
        <v>291385</v>
      </c>
      <c r="G62" s="153">
        <v>45659</v>
      </c>
      <c r="H62" s="8"/>
      <c r="I62" s="9"/>
      <c r="J62" s="9"/>
      <c r="K62" s="9"/>
      <c r="L62" s="154">
        <v>291385</v>
      </c>
      <c r="M62" s="155">
        <v>45659</v>
      </c>
      <c r="N62" s="9"/>
      <c r="O62" s="8"/>
      <c r="P62" s="8"/>
      <c r="Q62" s="8"/>
      <c r="R62" s="152">
        <v>291385</v>
      </c>
      <c r="S62" s="153">
        <v>45659</v>
      </c>
      <c r="T62" s="8"/>
      <c r="U62" s="9"/>
      <c r="V62" s="9"/>
      <c r="W62" s="9"/>
      <c r="X62" s="154">
        <v>291385</v>
      </c>
      <c r="Y62" s="155">
        <v>45659</v>
      </c>
      <c r="Z62" s="9"/>
    </row>
    <row r="63" spans="1:26" ht="33.75" customHeight="1" x14ac:dyDescent="0.25">
      <c r="A63" s="39">
        <v>204</v>
      </c>
      <c r="B63" s="3" t="s">
        <v>192</v>
      </c>
      <c r="C63" s="8"/>
      <c r="D63" s="8"/>
      <c r="E63" s="8"/>
      <c r="F63" s="152">
        <v>212065</v>
      </c>
      <c r="G63" s="153">
        <v>45665</v>
      </c>
      <c r="H63" s="8"/>
      <c r="I63" s="9"/>
      <c r="J63" s="9"/>
      <c r="K63" s="9"/>
      <c r="L63" s="154">
        <v>212065</v>
      </c>
      <c r="M63" s="155">
        <v>45665</v>
      </c>
      <c r="N63" s="9"/>
      <c r="O63" s="8"/>
      <c r="P63" s="8"/>
      <c r="Q63" s="8"/>
      <c r="R63" s="152">
        <v>212065</v>
      </c>
      <c r="S63" s="153">
        <v>45665</v>
      </c>
      <c r="T63" s="8"/>
      <c r="U63" s="9"/>
      <c r="V63" s="9"/>
      <c r="W63" s="9"/>
      <c r="X63" s="154">
        <v>212065</v>
      </c>
      <c r="Y63" s="155">
        <v>45665</v>
      </c>
      <c r="Z63" s="9"/>
    </row>
    <row r="64" spans="1:26" ht="33.75" customHeight="1" x14ac:dyDescent="0.25">
      <c r="A64" s="39">
        <v>205</v>
      </c>
      <c r="B64" s="3" t="s">
        <v>193</v>
      </c>
      <c r="C64" s="8"/>
      <c r="D64" s="8"/>
      <c r="E64" s="8"/>
      <c r="F64" s="8"/>
      <c r="G64" s="8"/>
      <c r="H64" s="8"/>
      <c r="I64" s="9"/>
      <c r="J64" s="9"/>
      <c r="K64" s="9"/>
      <c r="L64" s="9"/>
      <c r="M64" s="9"/>
      <c r="N64" s="9"/>
      <c r="O64" s="8"/>
      <c r="P64" s="8"/>
      <c r="Q64" s="8"/>
      <c r="R64" s="8"/>
      <c r="S64" s="8"/>
      <c r="T64" s="8"/>
      <c r="U64" s="9"/>
      <c r="V64" s="9"/>
      <c r="W64" s="9"/>
      <c r="X64" s="9"/>
      <c r="Y64" s="9"/>
      <c r="Z64" s="9"/>
    </row>
    <row r="65" spans="1:26" ht="33.75" customHeight="1" x14ac:dyDescent="0.25">
      <c r="A65" s="39">
        <v>206</v>
      </c>
      <c r="B65" s="3" t="s">
        <v>194</v>
      </c>
      <c r="C65" s="8"/>
      <c r="D65" s="8"/>
      <c r="E65" s="8"/>
      <c r="F65" s="8"/>
      <c r="G65" s="8"/>
      <c r="H65" s="8"/>
      <c r="I65" s="9"/>
      <c r="J65" s="9"/>
      <c r="K65" s="9"/>
      <c r="L65" s="9"/>
      <c r="M65" s="9"/>
      <c r="N65" s="9"/>
      <c r="O65" s="8"/>
      <c r="P65" s="8"/>
      <c r="Q65" s="8"/>
      <c r="R65" s="8"/>
      <c r="S65" s="8"/>
      <c r="T65" s="8"/>
      <c r="U65" s="9"/>
      <c r="V65" s="9"/>
      <c r="W65" s="9"/>
      <c r="X65" s="9"/>
      <c r="Y65" s="9"/>
      <c r="Z65" s="9"/>
    </row>
    <row r="66" spans="1:26" ht="33.75" customHeight="1" x14ac:dyDescent="0.25">
      <c r="A66" s="39">
        <v>207</v>
      </c>
      <c r="B66" s="3" t="s">
        <v>195</v>
      </c>
      <c r="C66" s="8"/>
      <c r="D66" s="8"/>
      <c r="E66" s="8"/>
      <c r="F66" s="8"/>
      <c r="G66" s="8"/>
      <c r="H66" s="8"/>
      <c r="I66" s="9"/>
      <c r="J66" s="9"/>
      <c r="K66" s="9"/>
      <c r="L66" s="9"/>
      <c r="M66" s="9"/>
      <c r="N66" s="9"/>
      <c r="O66" s="8"/>
      <c r="P66" s="8"/>
      <c r="Q66" s="8"/>
      <c r="R66" s="8"/>
      <c r="S66" s="8"/>
      <c r="T66" s="8"/>
      <c r="U66" s="9"/>
      <c r="V66" s="9"/>
      <c r="W66" s="9"/>
      <c r="X66" s="9"/>
      <c r="Y66" s="9"/>
      <c r="Z66" s="9"/>
    </row>
    <row r="67" spans="1:26" ht="33.75" customHeight="1" x14ac:dyDescent="0.25">
      <c r="A67" s="39">
        <v>208</v>
      </c>
      <c r="B67" s="3" t="s">
        <v>196</v>
      </c>
      <c r="C67" s="8"/>
      <c r="D67" s="8"/>
      <c r="E67" s="8"/>
      <c r="F67" s="8"/>
      <c r="G67" s="8"/>
      <c r="H67" s="8"/>
      <c r="I67" s="9"/>
      <c r="J67" s="9"/>
      <c r="K67" s="9"/>
      <c r="L67" s="9"/>
      <c r="M67" s="9"/>
      <c r="N67" s="9"/>
      <c r="O67" s="8"/>
      <c r="P67" s="8"/>
      <c r="Q67" s="8"/>
      <c r="R67" s="8"/>
      <c r="S67" s="8"/>
      <c r="T67" s="8"/>
      <c r="U67" s="9"/>
      <c r="V67" s="9"/>
      <c r="W67" s="9"/>
      <c r="X67" s="9"/>
      <c r="Y67" s="9"/>
      <c r="Z67" s="9"/>
    </row>
    <row r="68" spans="1:26" ht="33.75" customHeight="1" x14ac:dyDescent="0.25">
      <c r="A68" s="39">
        <v>209</v>
      </c>
      <c r="B68" s="3" t="s">
        <v>197</v>
      </c>
      <c r="C68" s="8"/>
      <c r="D68" s="8"/>
      <c r="E68" s="8"/>
      <c r="F68" s="152">
        <v>200880</v>
      </c>
      <c r="G68" s="153">
        <v>45663</v>
      </c>
      <c r="H68" s="8"/>
      <c r="I68" s="9"/>
      <c r="J68" s="9"/>
      <c r="K68" s="9"/>
      <c r="L68" s="154">
        <v>200880</v>
      </c>
      <c r="M68" s="155">
        <v>45663</v>
      </c>
      <c r="N68" s="9"/>
      <c r="O68" s="8"/>
      <c r="P68" s="8"/>
      <c r="Q68" s="8"/>
      <c r="R68" s="8"/>
      <c r="S68" s="8"/>
      <c r="T68" s="8"/>
      <c r="U68" s="9"/>
      <c r="V68" s="9"/>
      <c r="W68" s="9"/>
      <c r="X68" s="9"/>
      <c r="Y68" s="9"/>
      <c r="Z68" s="9"/>
    </row>
    <row r="69" spans="1:26" ht="33.75" customHeight="1" x14ac:dyDescent="0.25">
      <c r="A69" s="39">
        <v>210</v>
      </c>
      <c r="B69" s="3" t="s">
        <v>198</v>
      </c>
      <c r="C69" s="8"/>
      <c r="D69" s="8"/>
      <c r="E69" s="8"/>
      <c r="F69" s="152">
        <v>153900</v>
      </c>
      <c r="G69" s="153">
        <v>45621</v>
      </c>
      <c r="H69" s="8"/>
      <c r="I69" s="9"/>
      <c r="J69" s="9"/>
      <c r="K69" s="9"/>
      <c r="L69" s="154">
        <v>153900</v>
      </c>
      <c r="M69" s="155">
        <v>45621</v>
      </c>
      <c r="N69" s="9"/>
      <c r="O69" s="8"/>
      <c r="P69" s="8"/>
      <c r="Q69" s="8"/>
      <c r="R69" s="152">
        <v>153900</v>
      </c>
      <c r="S69" s="153">
        <v>45621</v>
      </c>
      <c r="T69" s="8"/>
      <c r="U69" s="9"/>
      <c r="V69" s="9"/>
      <c r="W69" s="9"/>
      <c r="X69" s="154">
        <v>159900</v>
      </c>
      <c r="Y69" s="155">
        <v>45621</v>
      </c>
      <c r="Z69" s="9"/>
    </row>
    <row r="70" spans="1:26" ht="33.75" customHeight="1" x14ac:dyDescent="0.25">
      <c r="A70" s="39">
        <v>211</v>
      </c>
      <c r="B70" s="3" t="s">
        <v>199</v>
      </c>
      <c r="C70" s="8"/>
      <c r="D70" s="8"/>
      <c r="E70" s="8"/>
      <c r="F70" s="152">
        <v>127393</v>
      </c>
      <c r="G70" s="153">
        <v>45617</v>
      </c>
      <c r="H70" s="8"/>
      <c r="I70" s="9"/>
      <c r="J70" s="9"/>
      <c r="K70" s="9"/>
      <c r="L70" s="154">
        <v>127393</v>
      </c>
      <c r="M70" s="155">
        <v>45617</v>
      </c>
      <c r="N70" s="9"/>
      <c r="O70" s="8"/>
      <c r="P70" s="8"/>
      <c r="Q70" s="8"/>
      <c r="R70" s="8"/>
      <c r="S70" s="8"/>
      <c r="T70" s="8"/>
      <c r="U70" s="9"/>
      <c r="V70" s="9"/>
      <c r="W70" s="9"/>
      <c r="X70" s="9"/>
      <c r="Y70" s="9"/>
      <c r="Z70" s="9"/>
    </row>
    <row r="71" spans="1:26" ht="33.75" customHeight="1" x14ac:dyDescent="0.25">
      <c r="A71" s="39">
        <v>212</v>
      </c>
      <c r="B71" s="3" t="s">
        <v>200</v>
      </c>
      <c r="C71" s="8"/>
      <c r="D71" s="8"/>
      <c r="E71" s="8"/>
      <c r="F71" s="8"/>
      <c r="G71" s="8"/>
      <c r="H71" s="8"/>
      <c r="I71" s="9"/>
      <c r="J71" s="9"/>
      <c r="K71" s="9"/>
      <c r="L71" s="9"/>
      <c r="M71" s="9"/>
      <c r="N71" s="9"/>
      <c r="O71" s="8"/>
      <c r="P71" s="8"/>
      <c r="Q71" s="8"/>
      <c r="R71" s="8"/>
      <c r="S71" s="8"/>
      <c r="T71" s="8"/>
      <c r="U71" s="9"/>
      <c r="V71" s="9"/>
      <c r="W71" s="9"/>
      <c r="X71" s="9"/>
      <c r="Y71" s="9"/>
      <c r="Z71" s="9"/>
    </row>
    <row r="72" spans="1:26" ht="33.75" customHeight="1" x14ac:dyDescent="0.25">
      <c r="A72" s="39">
        <v>214</v>
      </c>
      <c r="B72" s="3" t="s">
        <v>201</v>
      </c>
      <c r="C72" s="8"/>
      <c r="D72" s="8"/>
      <c r="E72" s="8"/>
      <c r="F72" s="8"/>
      <c r="G72" s="8"/>
      <c r="H72" s="8"/>
      <c r="I72" s="9"/>
      <c r="J72" s="9"/>
      <c r="K72" s="9"/>
      <c r="L72" s="9"/>
      <c r="M72" s="9"/>
      <c r="N72" s="9"/>
      <c r="O72" s="8"/>
      <c r="P72" s="8"/>
      <c r="Q72" s="8"/>
      <c r="R72" s="8"/>
      <c r="S72" s="8"/>
      <c r="T72" s="8"/>
      <c r="U72" s="9"/>
      <c r="V72" s="9"/>
      <c r="W72" s="9"/>
      <c r="X72" s="9"/>
      <c r="Y72" s="9"/>
      <c r="Z72" s="9"/>
    </row>
    <row r="73" spans="1:26" ht="33.75" customHeight="1" x14ac:dyDescent="0.25">
      <c r="A73" s="39">
        <v>215</v>
      </c>
      <c r="B73" s="3" t="s">
        <v>202</v>
      </c>
      <c r="C73" s="8"/>
      <c r="D73" s="8"/>
      <c r="E73" s="8"/>
      <c r="F73" s="8"/>
      <c r="G73" s="8"/>
      <c r="H73" s="8"/>
      <c r="I73" s="9"/>
      <c r="J73" s="9"/>
      <c r="K73" s="9"/>
      <c r="L73" s="9"/>
      <c r="M73" s="9"/>
      <c r="N73" s="9"/>
      <c r="O73" s="8"/>
      <c r="P73" s="8"/>
      <c r="Q73" s="8"/>
      <c r="R73" s="8"/>
      <c r="S73" s="8"/>
      <c r="T73" s="8"/>
      <c r="U73" s="9"/>
      <c r="V73" s="9"/>
      <c r="W73" s="9"/>
      <c r="X73" s="9"/>
      <c r="Y73" s="9"/>
      <c r="Z73" s="9"/>
    </row>
    <row r="74" spans="1:26" ht="33.75" customHeight="1" x14ac:dyDescent="0.25">
      <c r="A74" s="36">
        <v>221</v>
      </c>
      <c r="B74" s="3" t="s">
        <v>203</v>
      </c>
      <c r="C74" s="8"/>
      <c r="D74" s="8"/>
      <c r="E74" s="8"/>
      <c r="F74" s="8"/>
      <c r="G74" s="8"/>
      <c r="H74" s="8"/>
      <c r="I74" s="9"/>
      <c r="J74" s="9"/>
      <c r="K74" s="9"/>
      <c r="L74" s="9"/>
      <c r="M74" s="9"/>
      <c r="N74" s="9"/>
      <c r="O74" s="8"/>
      <c r="P74" s="8"/>
      <c r="Q74" s="8"/>
      <c r="R74" s="8"/>
      <c r="S74" s="8"/>
      <c r="T74" s="8"/>
      <c r="U74" s="9"/>
      <c r="V74" s="9"/>
      <c r="W74" s="9"/>
      <c r="X74" s="9"/>
      <c r="Y74" s="9"/>
      <c r="Z74" s="9"/>
    </row>
    <row r="75" spans="1:26" ht="33.75" customHeight="1" x14ac:dyDescent="0.25">
      <c r="A75" s="36">
        <v>222</v>
      </c>
      <c r="B75" s="3" t="s">
        <v>204</v>
      </c>
      <c r="C75" s="8"/>
      <c r="D75" s="8"/>
      <c r="E75" s="8"/>
      <c r="F75" s="8"/>
      <c r="G75" s="8"/>
      <c r="H75" s="8"/>
      <c r="I75" s="9"/>
      <c r="J75" s="9"/>
      <c r="K75" s="9"/>
      <c r="L75" s="9"/>
      <c r="M75" s="9"/>
      <c r="N75" s="9"/>
      <c r="O75" s="8"/>
      <c r="P75" s="8"/>
      <c r="Q75" s="8"/>
      <c r="R75" s="8"/>
      <c r="S75" s="8"/>
      <c r="T75" s="8"/>
      <c r="U75" s="9"/>
      <c r="V75" s="9"/>
      <c r="W75" s="9"/>
      <c r="X75" s="9"/>
      <c r="Y75" s="9"/>
      <c r="Z75" s="9"/>
    </row>
    <row r="76" spans="1:26" ht="33.75" customHeight="1" x14ac:dyDescent="0.25">
      <c r="A76" s="36">
        <v>223</v>
      </c>
      <c r="B76" s="3" t="s">
        <v>205</v>
      </c>
      <c r="C76" s="8"/>
      <c r="D76" s="8"/>
      <c r="E76" s="8"/>
      <c r="F76" s="8"/>
      <c r="G76" s="8"/>
      <c r="H76" s="8"/>
      <c r="I76" s="9"/>
      <c r="J76" s="9"/>
      <c r="K76" s="9"/>
      <c r="L76" s="9"/>
      <c r="M76" s="9"/>
      <c r="N76" s="9"/>
      <c r="O76" s="8"/>
      <c r="P76" s="8"/>
      <c r="Q76" s="8"/>
      <c r="R76" s="8"/>
      <c r="S76" s="8"/>
      <c r="T76" s="8"/>
      <c r="U76" s="9"/>
      <c r="V76" s="9"/>
      <c r="W76" s="9"/>
      <c r="X76" s="9"/>
      <c r="Y76" s="9"/>
      <c r="Z76" s="9"/>
    </row>
    <row r="77" spans="1:26" ht="33.75" customHeight="1" x14ac:dyDescent="0.25">
      <c r="A77" s="36">
        <v>224</v>
      </c>
      <c r="B77" s="3" t="s">
        <v>206</v>
      </c>
      <c r="C77" s="8"/>
      <c r="D77" s="8"/>
      <c r="E77" s="8"/>
      <c r="F77" s="8"/>
      <c r="G77" s="8"/>
      <c r="H77" s="8"/>
      <c r="I77" s="9"/>
      <c r="J77" s="9"/>
      <c r="K77" s="9"/>
      <c r="L77" s="9"/>
      <c r="M77" s="9"/>
      <c r="N77" s="9"/>
      <c r="O77" s="8"/>
      <c r="P77" s="8"/>
      <c r="Q77" s="8"/>
      <c r="R77" s="8"/>
      <c r="S77" s="8"/>
      <c r="T77" s="8"/>
      <c r="U77" s="9"/>
      <c r="V77" s="9"/>
      <c r="W77" s="9"/>
      <c r="X77" s="9"/>
      <c r="Y77" s="9"/>
      <c r="Z77" s="9"/>
    </row>
    <row r="78" spans="1:26" ht="33.75" customHeight="1" x14ac:dyDescent="0.25">
      <c r="A78" s="36">
        <v>225</v>
      </c>
      <c r="B78" s="3" t="s">
        <v>207</v>
      </c>
      <c r="C78" s="8"/>
      <c r="D78" s="8"/>
      <c r="E78" s="8"/>
      <c r="F78" s="8"/>
      <c r="G78" s="8"/>
      <c r="H78" s="8"/>
      <c r="I78" s="9"/>
      <c r="J78" s="9"/>
      <c r="K78" s="9"/>
      <c r="L78" s="9"/>
      <c r="M78" s="9"/>
      <c r="N78" s="9"/>
      <c r="O78" s="8"/>
      <c r="P78" s="8"/>
      <c r="Q78" s="8"/>
      <c r="R78" s="8"/>
      <c r="S78" s="8"/>
      <c r="T78" s="8"/>
      <c r="U78" s="9"/>
      <c r="V78" s="9"/>
      <c r="W78" s="9"/>
      <c r="X78" s="9"/>
      <c r="Y78" s="9"/>
      <c r="Z78" s="9"/>
    </row>
    <row r="79" spans="1:26" ht="33.75" customHeight="1" x14ac:dyDescent="0.25">
      <c r="A79" s="36">
        <v>229</v>
      </c>
      <c r="B79" s="3" t="s">
        <v>208</v>
      </c>
      <c r="C79" s="8"/>
      <c r="D79" s="8"/>
      <c r="E79" s="8"/>
      <c r="F79" s="8"/>
      <c r="G79" s="8"/>
      <c r="H79" s="8"/>
      <c r="I79" s="9"/>
      <c r="J79" s="9"/>
      <c r="K79" s="9"/>
      <c r="L79" s="9"/>
      <c r="M79" s="9"/>
      <c r="N79" s="9"/>
      <c r="O79" s="8"/>
      <c r="P79" s="8"/>
      <c r="Q79" s="8"/>
      <c r="R79" s="8"/>
      <c r="S79" s="8"/>
      <c r="T79" s="8"/>
      <c r="U79" s="9"/>
      <c r="V79" s="9"/>
      <c r="W79" s="9"/>
      <c r="X79" s="9"/>
      <c r="Y79" s="9"/>
      <c r="Z79" s="9"/>
    </row>
    <row r="80" spans="1:26" ht="33.75" customHeight="1" x14ac:dyDescent="0.25">
      <c r="A80" s="36">
        <v>230</v>
      </c>
      <c r="B80" s="3" t="s">
        <v>209</v>
      </c>
      <c r="C80" s="8"/>
      <c r="D80" s="8"/>
      <c r="E80" s="8"/>
      <c r="F80" s="8"/>
      <c r="G80" s="8"/>
      <c r="H80" s="8"/>
      <c r="I80" s="9"/>
      <c r="J80" s="9"/>
      <c r="K80" s="9"/>
      <c r="L80" s="9"/>
      <c r="M80" s="9"/>
      <c r="N80" s="9"/>
      <c r="O80" s="8"/>
      <c r="P80" s="8"/>
      <c r="Q80" s="8"/>
      <c r="R80" s="8"/>
      <c r="S80" s="8"/>
      <c r="T80" s="8"/>
      <c r="U80" s="9"/>
      <c r="V80" s="9"/>
      <c r="W80" s="9"/>
      <c r="X80" s="9"/>
      <c r="Y80" s="9"/>
      <c r="Z80" s="9"/>
    </row>
    <row r="81" spans="1:26" ht="33.75" customHeight="1" x14ac:dyDescent="0.25">
      <c r="A81" s="36">
        <v>231</v>
      </c>
      <c r="B81" s="3" t="s">
        <v>210</v>
      </c>
      <c r="C81" s="8"/>
      <c r="D81" s="8"/>
      <c r="E81" s="8"/>
      <c r="F81" s="8"/>
      <c r="G81" s="8"/>
      <c r="H81" s="8"/>
      <c r="I81" s="9"/>
      <c r="J81" s="9"/>
      <c r="K81" s="9"/>
      <c r="L81" s="9"/>
      <c r="M81" s="9"/>
      <c r="N81" s="9"/>
      <c r="O81" s="8"/>
      <c r="P81" s="8"/>
      <c r="Q81" s="8"/>
      <c r="R81" s="8"/>
      <c r="S81" s="8"/>
      <c r="T81" s="8"/>
      <c r="U81" s="9"/>
      <c r="V81" s="9"/>
      <c r="W81" s="9"/>
      <c r="X81" s="9"/>
      <c r="Y81" s="9"/>
      <c r="Z81" s="9"/>
    </row>
    <row r="82" spans="1:26" ht="33.75" customHeight="1" x14ac:dyDescent="0.25">
      <c r="A82" s="36">
        <v>232</v>
      </c>
      <c r="B82" s="3" t="s">
        <v>211</v>
      </c>
      <c r="C82" s="8"/>
      <c r="D82" s="8"/>
      <c r="E82" s="8"/>
      <c r="F82" s="8"/>
      <c r="G82" s="8"/>
      <c r="H82" s="8"/>
      <c r="I82" s="9"/>
      <c r="J82" s="9"/>
      <c r="K82" s="9"/>
      <c r="L82" s="9"/>
      <c r="M82" s="9"/>
      <c r="N82" s="9"/>
      <c r="O82" s="8"/>
      <c r="P82" s="8"/>
      <c r="Q82" s="8"/>
      <c r="R82" s="8"/>
      <c r="S82" s="8"/>
      <c r="T82" s="8"/>
      <c r="U82" s="9"/>
      <c r="V82" s="9"/>
      <c r="W82" s="9"/>
      <c r="X82" s="9"/>
      <c r="Y82" s="9"/>
      <c r="Z82" s="9"/>
    </row>
    <row r="83" spans="1:26" ht="33.75" customHeight="1" x14ac:dyDescent="0.25">
      <c r="A83" s="36">
        <v>233</v>
      </c>
      <c r="B83" s="3" t="s">
        <v>212</v>
      </c>
      <c r="C83" s="8"/>
      <c r="D83" s="8"/>
      <c r="E83" s="8"/>
      <c r="F83" s="8"/>
      <c r="G83" s="8"/>
      <c r="H83" s="8"/>
      <c r="I83" s="9"/>
      <c r="J83" s="9"/>
      <c r="K83" s="9"/>
      <c r="L83" s="9"/>
      <c r="M83" s="9"/>
      <c r="N83" s="9"/>
      <c r="O83" s="8"/>
      <c r="P83" s="8"/>
      <c r="Q83" s="8"/>
      <c r="R83" s="8"/>
      <c r="S83" s="8"/>
      <c r="T83" s="8"/>
      <c r="U83" s="9"/>
      <c r="V83" s="9"/>
      <c r="W83" s="9"/>
      <c r="X83" s="9"/>
      <c r="Y83" s="9"/>
      <c r="Z83" s="9"/>
    </row>
    <row r="84" spans="1:26" ht="33.75" customHeight="1" x14ac:dyDescent="0.25">
      <c r="A84" s="36">
        <v>234</v>
      </c>
      <c r="B84" s="3" t="s">
        <v>213</v>
      </c>
      <c r="C84" s="8"/>
      <c r="D84" s="8"/>
      <c r="E84" s="8"/>
      <c r="F84" s="8"/>
      <c r="G84" s="8"/>
      <c r="H84" s="8"/>
      <c r="I84" s="9"/>
      <c r="J84" s="9"/>
      <c r="K84" s="9"/>
      <c r="L84" s="9"/>
      <c r="M84" s="9"/>
      <c r="N84" s="9"/>
      <c r="O84" s="8"/>
      <c r="P84" s="8"/>
      <c r="Q84" s="8"/>
      <c r="R84" s="8"/>
      <c r="S84" s="8"/>
      <c r="T84" s="8"/>
      <c r="U84" s="9"/>
      <c r="V84" s="9"/>
      <c r="W84" s="9"/>
      <c r="X84" s="9"/>
      <c r="Y84" s="9"/>
      <c r="Z84" s="9"/>
    </row>
    <row r="85" spans="1:26" ht="33.75" customHeight="1" x14ac:dyDescent="0.25">
      <c r="A85" s="36">
        <v>241</v>
      </c>
      <c r="B85" s="3" t="s">
        <v>214</v>
      </c>
      <c r="C85" s="8"/>
      <c r="D85" s="8"/>
      <c r="E85" s="8"/>
      <c r="F85" s="8"/>
      <c r="G85" s="8"/>
      <c r="H85" s="8"/>
      <c r="I85" s="9"/>
      <c r="J85" s="9"/>
      <c r="K85" s="9"/>
      <c r="L85" s="9"/>
      <c r="M85" s="9"/>
      <c r="N85" s="9"/>
      <c r="O85" s="8"/>
      <c r="P85" s="8"/>
      <c r="Q85" s="8"/>
      <c r="R85" s="8"/>
      <c r="S85" s="8"/>
      <c r="T85" s="8"/>
      <c r="U85" s="9"/>
      <c r="V85" s="9"/>
      <c r="W85" s="9"/>
      <c r="X85" s="9"/>
      <c r="Y85" s="9"/>
      <c r="Z85" s="9"/>
    </row>
    <row r="86" spans="1:26" ht="33.75" customHeight="1" x14ac:dyDescent="0.25">
      <c r="A86" s="36">
        <v>242</v>
      </c>
      <c r="B86" s="3" t="s">
        <v>215</v>
      </c>
      <c r="C86" s="8"/>
      <c r="D86" s="8"/>
      <c r="E86" s="8"/>
      <c r="F86" s="8"/>
      <c r="G86" s="8"/>
      <c r="H86" s="8"/>
      <c r="I86" s="9"/>
      <c r="J86" s="9"/>
      <c r="K86" s="9"/>
      <c r="L86" s="9"/>
      <c r="M86" s="9"/>
      <c r="N86" s="9"/>
      <c r="O86" s="8"/>
      <c r="P86" s="8"/>
      <c r="Q86" s="8"/>
      <c r="R86" s="152">
        <v>8611</v>
      </c>
      <c r="S86" s="153">
        <v>45645</v>
      </c>
      <c r="T86" s="8"/>
      <c r="U86" s="9"/>
      <c r="V86" s="9"/>
      <c r="W86" s="9"/>
      <c r="X86" s="9"/>
      <c r="Y86" s="9"/>
      <c r="Z86" s="9"/>
    </row>
    <row r="87" spans="1:26" ht="33.75" customHeight="1" x14ac:dyDescent="0.25">
      <c r="A87" s="36">
        <v>243</v>
      </c>
      <c r="B87" s="3" t="s">
        <v>216</v>
      </c>
      <c r="C87" s="8"/>
      <c r="D87" s="8"/>
      <c r="E87" s="8"/>
      <c r="F87" s="8"/>
      <c r="G87" s="8"/>
      <c r="H87" s="8"/>
      <c r="I87" s="9"/>
      <c r="J87" s="9"/>
      <c r="K87" s="9"/>
      <c r="L87" s="9"/>
      <c r="M87" s="9"/>
      <c r="N87" s="9"/>
      <c r="O87" s="8"/>
      <c r="P87" s="8"/>
      <c r="Q87" s="8"/>
      <c r="R87" s="8"/>
      <c r="S87" s="8"/>
      <c r="T87" s="8"/>
      <c r="U87" s="9"/>
      <c r="V87" s="9"/>
      <c r="W87" s="9"/>
      <c r="X87" s="9"/>
      <c r="Y87" s="9"/>
      <c r="Z87" s="9"/>
    </row>
    <row r="88" spans="1:26" ht="33.75" customHeight="1" x14ac:dyDescent="0.25">
      <c r="A88" s="36">
        <v>244</v>
      </c>
      <c r="B88" s="3" t="s">
        <v>217</v>
      </c>
      <c r="C88" s="8"/>
      <c r="D88" s="8"/>
      <c r="E88" s="8"/>
      <c r="F88" s="8"/>
      <c r="G88" s="8"/>
      <c r="H88" s="8"/>
      <c r="I88" s="9"/>
      <c r="J88" s="9"/>
      <c r="K88" s="9"/>
      <c r="L88" s="9"/>
      <c r="M88" s="9"/>
      <c r="N88" s="9"/>
      <c r="O88" s="8"/>
      <c r="P88" s="8"/>
      <c r="Q88" s="8"/>
      <c r="R88" s="8"/>
      <c r="S88" s="8"/>
      <c r="T88" s="8"/>
      <c r="U88" s="9"/>
      <c r="V88" s="9"/>
      <c r="W88" s="9"/>
      <c r="X88" s="9"/>
      <c r="Y88" s="9"/>
      <c r="Z88" s="9"/>
    </row>
    <row r="89" spans="1:26" ht="33.75" customHeight="1" x14ac:dyDescent="0.25">
      <c r="A89" s="36">
        <v>245</v>
      </c>
      <c r="B89" s="3" t="s">
        <v>218</v>
      </c>
      <c r="C89" s="8"/>
      <c r="D89" s="8"/>
      <c r="E89" s="8"/>
      <c r="F89" s="8"/>
      <c r="G89" s="8"/>
      <c r="H89" s="8"/>
      <c r="I89" s="9"/>
      <c r="J89" s="9"/>
      <c r="K89" s="9"/>
      <c r="L89" s="9"/>
      <c r="M89" s="9"/>
      <c r="N89" s="9"/>
      <c r="O89" s="8"/>
      <c r="P89" s="8"/>
      <c r="Q89" s="8"/>
      <c r="R89" s="8"/>
      <c r="S89" s="8"/>
      <c r="T89" s="8"/>
      <c r="U89" s="9"/>
      <c r="V89" s="9"/>
      <c r="W89" s="9"/>
      <c r="X89" s="9"/>
      <c r="Y89" s="9"/>
      <c r="Z89" s="9"/>
    </row>
    <row r="90" spans="1:26" ht="33.75" customHeight="1" x14ac:dyDescent="0.25">
      <c r="A90" s="36">
        <v>246</v>
      </c>
      <c r="B90" s="3" t="s">
        <v>219</v>
      </c>
      <c r="C90" s="8"/>
      <c r="D90" s="8"/>
      <c r="E90" s="8"/>
      <c r="F90" s="8"/>
      <c r="G90" s="8"/>
      <c r="H90" s="8"/>
      <c r="I90" s="9"/>
      <c r="J90" s="9"/>
      <c r="K90" s="9"/>
      <c r="L90" s="9"/>
      <c r="M90" s="9"/>
      <c r="N90" s="9"/>
      <c r="O90" s="8"/>
      <c r="P90" s="8"/>
      <c r="Q90" s="8"/>
      <c r="R90" s="8"/>
      <c r="S90" s="8"/>
      <c r="T90" s="8"/>
      <c r="U90" s="9"/>
      <c r="V90" s="9"/>
      <c r="W90" s="9"/>
      <c r="X90" s="9"/>
      <c r="Y90" s="9"/>
      <c r="Z90" s="9"/>
    </row>
    <row r="91" spans="1:26" ht="33.75" customHeight="1" x14ac:dyDescent="0.25">
      <c r="A91" s="36">
        <v>248</v>
      </c>
      <c r="B91" s="3" t="s">
        <v>220</v>
      </c>
      <c r="C91" s="8"/>
      <c r="D91" s="8"/>
      <c r="E91" s="8"/>
      <c r="F91" s="8"/>
      <c r="G91" s="8"/>
      <c r="H91" s="8"/>
      <c r="I91" s="9"/>
      <c r="J91" s="9"/>
      <c r="K91" s="9"/>
      <c r="L91" s="9"/>
      <c r="M91" s="9"/>
      <c r="N91" s="9"/>
      <c r="O91" s="8"/>
      <c r="P91" s="8"/>
      <c r="Q91" s="8"/>
      <c r="R91" s="8"/>
      <c r="S91" s="8"/>
      <c r="T91" s="8"/>
      <c r="U91" s="9"/>
      <c r="V91" s="9"/>
      <c r="W91" s="9"/>
      <c r="X91" s="9"/>
      <c r="Y91" s="9"/>
      <c r="Z91" s="9"/>
    </row>
    <row r="92" spans="1:26" ht="33.75" customHeight="1" x14ac:dyDescent="0.25">
      <c r="A92" s="36">
        <v>260</v>
      </c>
      <c r="B92" s="3" t="s">
        <v>221</v>
      </c>
      <c r="C92" s="8"/>
      <c r="D92" s="8"/>
      <c r="E92" s="8"/>
      <c r="F92" s="8"/>
      <c r="G92" s="8"/>
      <c r="H92" s="8"/>
      <c r="I92" s="9"/>
      <c r="J92" s="9"/>
      <c r="K92" s="9"/>
      <c r="L92" s="9"/>
      <c r="M92" s="9"/>
      <c r="N92" s="9"/>
      <c r="O92" s="8"/>
      <c r="P92" s="8"/>
      <c r="Q92" s="8"/>
      <c r="R92" s="8"/>
      <c r="S92" s="8"/>
      <c r="T92" s="8"/>
      <c r="U92" s="9"/>
      <c r="V92" s="9"/>
      <c r="W92" s="9"/>
      <c r="X92" s="9"/>
      <c r="Y92" s="9"/>
      <c r="Z92" s="9"/>
    </row>
    <row r="93" spans="1:26" ht="33.75" customHeight="1" x14ac:dyDescent="0.25">
      <c r="A93" s="36">
        <v>269</v>
      </c>
      <c r="B93" s="3" t="s">
        <v>222</v>
      </c>
      <c r="C93" s="8"/>
      <c r="D93" s="8"/>
      <c r="E93" s="8"/>
      <c r="F93" s="8"/>
      <c r="G93" s="8"/>
      <c r="H93" s="8"/>
      <c r="I93" s="9"/>
      <c r="J93" s="9"/>
      <c r="K93" s="9"/>
      <c r="L93" s="9"/>
      <c r="M93" s="9"/>
      <c r="N93" s="9"/>
      <c r="O93" s="8"/>
      <c r="P93" s="8"/>
      <c r="Q93" s="8"/>
      <c r="R93" s="8"/>
      <c r="S93" s="8"/>
      <c r="T93" s="8"/>
      <c r="U93" s="9"/>
      <c r="V93" s="9"/>
      <c r="W93" s="9"/>
      <c r="X93" s="9"/>
      <c r="Y93" s="9"/>
      <c r="Z93" s="9"/>
    </row>
    <row r="94" spans="1:26" ht="33.75" customHeight="1" x14ac:dyDescent="0.25">
      <c r="A94" s="39">
        <v>275</v>
      </c>
      <c r="B94" s="3" t="s">
        <v>223</v>
      </c>
      <c r="C94" s="8"/>
      <c r="D94" s="8"/>
      <c r="E94" s="8"/>
      <c r="F94" s="8"/>
      <c r="G94" s="8"/>
      <c r="H94" s="8"/>
      <c r="I94" s="9"/>
      <c r="J94" s="9"/>
      <c r="K94" s="9"/>
      <c r="L94" s="9"/>
      <c r="M94" s="9"/>
      <c r="N94" s="9"/>
      <c r="O94" s="8"/>
      <c r="P94" s="8"/>
      <c r="Q94" s="8"/>
      <c r="R94" s="8"/>
      <c r="S94" s="8"/>
      <c r="T94" s="8"/>
      <c r="U94" s="9"/>
      <c r="V94" s="9"/>
      <c r="W94" s="9"/>
      <c r="X94" s="9"/>
      <c r="Y94" s="9"/>
      <c r="Z94" s="9"/>
    </row>
    <row r="95" spans="1:26" ht="33.75" customHeight="1" x14ac:dyDescent="0.25">
      <c r="A95" s="39">
        <v>284</v>
      </c>
      <c r="B95" s="40" t="s">
        <v>224</v>
      </c>
      <c r="C95" s="8"/>
      <c r="D95" s="8"/>
      <c r="E95" s="8"/>
      <c r="F95" s="8"/>
      <c r="G95" s="8"/>
      <c r="H95" s="8"/>
      <c r="I95" s="9"/>
      <c r="J95" s="9"/>
      <c r="K95" s="9"/>
      <c r="L95" s="9"/>
      <c r="M95" s="9"/>
      <c r="N95" s="9"/>
      <c r="O95" s="8"/>
      <c r="P95" s="8"/>
      <c r="Q95" s="8"/>
      <c r="R95" s="8"/>
      <c r="S95" s="8"/>
      <c r="T95" s="8"/>
      <c r="U95" s="9"/>
      <c r="V95" s="9"/>
      <c r="W95" s="9"/>
      <c r="X95" s="9"/>
      <c r="Y95" s="9"/>
      <c r="Z95" s="9"/>
    </row>
    <row r="96" spans="1:26" ht="33.75" customHeight="1" x14ac:dyDescent="0.25">
      <c r="A96" s="41">
        <v>285</v>
      </c>
      <c r="B96" s="38" t="s">
        <v>225</v>
      </c>
      <c r="C96" s="8"/>
      <c r="D96" s="8"/>
      <c r="E96" s="8"/>
      <c r="F96" s="8"/>
      <c r="G96" s="8"/>
      <c r="H96" s="8"/>
      <c r="I96" s="9"/>
      <c r="J96" s="9"/>
      <c r="K96" s="9"/>
      <c r="L96" s="9"/>
      <c r="M96" s="9"/>
      <c r="N96" s="9"/>
      <c r="O96" s="8"/>
      <c r="P96" s="8"/>
      <c r="Q96" s="8"/>
      <c r="R96" s="8"/>
      <c r="S96" s="8"/>
      <c r="T96" s="8"/>
      <c r="U96" s="9"/>
      <c r="V96" s="9"/>
      <c r="W96" s="9"/>
      <c r="X96" s="9"/>
      <c r="Y96" s="9"/>
      <c r="Z96" s="9"/>
    </row>
    <row r="97" spans="1:26" ht="33.75" customHeight="1" x14ac:dyDescent="0.25">
      <c r="A97" s="41">
        <v>286</v>
      </c>
      <c r="B97" s="38" t="s">
        <v>226</v>
      </c>
      <c r="C97" s="8"/>
      <c r="D97" s="8"/>
      <c r="E97" s="8"/>
      <c r="F97" s="8"/>
      <c r="G97" s="8"/>
      <c r="H97" s="8"/>
      <c r="I97" s="9"/>
      <c r="J97" s="9"/>
      <c r="K97" s="9"/>
      <c r="L97" s="9"/>
      <c r="M97" s="9"/>
      <c r="N97" s="9"/>
      <c r="O97" s="8"/>
      <c r="P97" s="8"/>
      <c r="Q97" s="8"/>
      <c r="R97" s="8"/>
      <c r="S97" s="8"/>
      <c r="T97" s="8"/>
      <c r="U97" s="9"/>
      <c r="V97" s="9"/>
      <c r="W97" s="9"/>
      <c r="X97" s="9"/>
      <c r="Y97" s="9"/>
      <c r="Z97" s="9"/>
    </row>
    <row r="98" spans="1:26" ht="33.75" customHeight="1" x14ac:dyDescent="0.25">
      <c r="A98" s="41">
        <v>287</v>
      </c>
      <c r="B98" s="38" t="s">
        <v>227</v>
      </c>
      <c r="C98" s="8"/>
      <c r="D98" s="8"/>
      <c r="E98" s="8"/>
      <c r="F98" s="8"/>
      <c r="G98" s="8"/>
      <c r="H98" s="8"/>
      <c r="I98" s="9"/>
      <c r="J98" s="9"/>
      <c r="K98" s="9"/>
      <c r="L98" s="9"/>
      <c r="M98" s="9"/>
      <c r="N98" s="9"/>
      <c r="O98" s="8"/>
      <c r="P98" s="8"/>
      <c r="Q98" s="8"/>
      <c r="R98" s="8"/>
      <c r="S98" s="8"/>
      <c r="T98" s="8"/>
      <c r="U98" s="9"/>
      <c r="V98" s="9"/>
      <c r="W98" s="9"/>
      <c r="X98" s="9"/>
      <c r="Y98" s="9"/>
      <c r="Z98" s="9"/>
    </row>
    <row r="99" spans="1:26" ht="33.75" customHeight="1" x14ac:dyDescent="0.25">
      <c r="A99" s="41">
        <v>296</v>
      </c>
      <c r="B99" s="38" t="s">
        <v>228</v>
      </c>
      <c r="C99" s="8"/>
      <c r="D99" s="8"/>
      <c r="E99" s="8"/>
      <c r="F99" s="8"/>
      <c r="G99" s="8"/>
      <c r="H99" s="8"/>
      <c r="I99" s="9"/>
      <c r="J99" s="9"/>
      <c r="K99" s="9"/>
      <c r="L99" s="9"/>
      <c r="M99" s="9"/>
      <c r="N99" s="9"/>
      <c r="O99" s="8"/>
      <c r="P99" s="8"/>
      <c r="Q99" s="8"/>
      <c r="R99" s="8"/>
      <c r="S99" s="8"/>
      <c r="T99" s="8"/>
      <c r="U99" s="9"/>
      <c r="V99" s="9"/>
      <c r="W99" s="9"/>
      <c r="X99" s="9"/>
      <c r="Y99" s="9"/>
      <c r="Z99" s="9"/>
    </row>
    <row r="100" spans="1:26" ht="33.75" customHeight="1" x14ac:dyDescent="0.25">
      <c r="A100" s="41">
        <v>298</v>
      </c>
      <c r="B100" s="38"/>
      <c r="C100" s="8"/>
      <c r="D100" s="8"/>
      <c r="E100" s="8"/>
      <c r="F100" s="8"/>
      <c r="G100" s="8"/>
      <c r="H100" s="8"/>
      <c r="I100" s="9"/>
      <c r="J100" s="9"/>
      <c r="K100" s="9"/>
      <c r="L100" s="9"/>
      <c r="M100" s="9"/>
      <c r="N100" s="9"/>
      <c r="O100" s="8"/>
      <c r="P100" s="8"/>
      <c r="Q100" s="8"/>
      <c r="R100" s="8"/>
      <c r="S100" s="8"/>
      <c r="T100" s="8"/>
      <c r="U100" s="9"/>
      <c r="V100" s="9"/>
      <c r="W100" s="9"/>
      <c r="X100" s="9"/>
      <c r="Y100" s="9"/>
      <c r="Z100" s="9"/>
    </row>
    <row r="101" spans="1:26" ht="33.75" customHeight="1" x14ac:dyDescent="0.25">
      <c r="A101" s="39">
        <v>300</v>
      </c>
      <c r="B101" s="38" t="s">
        <v>229</v>
      </c>
      <c r="C101" s="8"/>
      <c r="D101" s="8"/>
      <c r="E101" s="8"/>
      <c r="F101" s="8"/>
      <c r="G101" s="8"/>
      <c r="H101" s="8"/>
      <c r="I101" s="9"/>
      <c r="J101" s="9"/>
      <c r="K101" s="9"/>
      <c r="L101" s="9"/>
      <c r="M101" s="9"/>
      <c r="N101" s="9"/>
      <c r="O101" s="8"/>
      <c r="P101" s="8"/>
      <c r="Q101" s="8"/>
      <c r="R101" s="8"/>
      <c r="S101" s="8"/>
      <c r="T101" s="8"/>
      <c r="U101" s="9"/>
      <c r="V101" s="9"/>
      <c r="W101" s="9"/>
      <c r="X101" s="9"/>
      <c r="Y101" s="9"/>
      <c r="Z101" s="9"/>
    </row>
    <row r="102" spans="1:26" ht="33.75" customHeight="1" x14ac:dyDescent="0.25">
      <c r="A102" s="39">
        <v>301</v>
      </c>
      <c r="B102" s="38" t="s">
        <v>230</v>
      </c>
      <c r="C102" s="8"/>
      <c r="D102" s="8"/>
      <c r="E102" s="8"/>
      <c r="F102" s="152">
        <v>42687</v>
      </c>
      <c r="G102" s="153">
        <v>45663</v>
      </c>
      <c r="H102" s="8"/>
      <c r="I102" s="9"/>
      <c r="J102" s="9"/>
      <c r="K102" s="9"/>
      <c r="L102" s="154">
        <v>42687</v>
      </c>
      <c r="M102" s="155">
        <v>45663</v>
      </c>
      <c r="N102" s="9"/>
      <c r="O102" s="8"/>
      <c r="P102" s="8"/>
      <c r="Q102" s="8"/>
      <c r="R102" s="152">
        <v>42687</v>
      </c>
      <c r="S102" s="153">
        <v>45663</v>
      </c>
      <c r="T102" s="8"/>
      <c r="U102" s="9"/>
      <c r="V102" s="9"/>
      <c r="W102" s="9"/>
      <c r="X102" s="154">
        <v>42687</v>
      </c>
      <c r="Y102" s="155">
        <v>45663</v>
      </c>
      <c r="Z102" s="9"/>
    </row>
    <row r="103" spans="1:26" ht="33.75" customHeight="1" x14ac:dyDescent="0.25">
      <c r="A103" s="39">
        <v>302</v>
      </c>
      <c r="B103" s="38" t="s">
        <v>231</v>
      </c>
      <c r="C103" s="8"/>
      <c r="D103" s="8"/>
      <c r="E103" s="8"/>
      <c r="F103" s="152">
        <v>78552</v>
      </c>
      <c r="G103" s="153">
        <v>45705</v>
      </c>
      <c r="H103" s="8"/>
      <c r="I103" s="9"/>
      <c r="J103" s="9"/>
      <c r="K103" s="9"/>
      <c r="L103" s="154">
        <v>78552</v>
      </c>
      <c r="M103" s="155">
        <v>45705</v>
      </c>
      <c r="N103" s="9"/>
      <c r="O103" s="8"/>
      <c r="P103" s="8"/>
      <c r="Q103" s="8"/>
      <c r="R103" s="152">
        <v>78552</v>
      </c>
      <c r="S103" s="153">
        <v>45705</v>
      </c>
      <c r="T103" s="8"/>
      <c r="U103" s="9"/>
      <c r="V103" s="9"/>
      <c r="W103" s="9"/>
      <c r="X103" s="154">
        <v>78552</v>
      </c>
      <c r="Y103" s="155">
        <v>45705</v>
      </c>
      <c r="Z103" s="9"/>
    </row>
    <row r="104" spans="1:26" ht="33.75" customHeight="1" x14ac:dyDescent="0.25">
      <c r="A104" s="39">
        <v>303</v>
      </c>
      <c r="B104" s="38" t="s">
        <v>232</v>
      </c>
      <c r="C104" s="8"/>
      <c r="D104" s="8"/>
      <c r="E104" s="8"/>
      <c r="F104" s="8"/>
      <c r="G104" s="8"/>
      <c r="H104" s="8"/>
      <c r="I104" s="9"/>
      <c r="J104" s="9"/>
      <c r="K104" s="9"/>
      <c r="L104" s="9"/>
      <c r="M104" s="9"/>
      <c r="N104" s="9"/>
      <c r="O104" s="8"/>
      <c r="P104" s="8"/>
      <c r="Q104" s="8"/>
      <c r="R104" s="8"/>
      <c r="S104" s="8"/>
      <c r="T104" s="8"/>
      <c r="U104" s="9"/>
      <c r="V104" s="9"/>
      <c r="W104" s="9"/>
      <c r="X104" s="9"/>
      <c r="Y104" s="9"/>
      <c r="Z104" s="9"/>
    </row>
    <row r="105" spans="1:26" ht="33.75" customHeight="1" x14ac:dyDescent="0.25">
      <c r="A105" s="42">
        <v>304</v>
      </c>
      <c r="B105" s="3" t="s">
        <v>233</v>
      </c>
      <c r="C105" s="8"/>
      <c r="D105" s="8"/>
      <c r="E105" s="8"/>
      <c r="F105" s="8"/>
      <c r="G105" s="8"/>
      <c r="H105" s="8"/>
      <c r="I105" s="9"/>
      <c r="J105" s="9"/>
      <c r="K105" s="9"/>
      <c r="L105" s="9"/>
      <c r="M105" s="9"/>
      <c r="N105" s="9"/>
      <c r="O105" s="8"/>
      <c r="P105" s="8"/>
      <c r="Q105" s="8"/>
      <c r="R105" s="8"/>
      <c r="S105" s="8"/>
      <c r="T105" s="8"/>
      <c r="U105" s="9"/>
      <c r="V105" s="9"/>
      <c r="W105" s="9"/>
      <c r="X105" s="9"/>
      <c r="Y105" s="9"/>
      <c r="Z105" s="9"/>
    </row>
    <row r="106" spans="1:26" ht="33.75" customHeight="1" x14ac:dyDescent="0.25">
      <c r="A106" s="42">
        <v>305</v>
      </c>
      <c r="B106" s="3" t="s">
        <v>234</v>
      </c>
      <c r="C106" s="8"/>
      <c r="D106" s="8"/>
      <c r="E106" s="8"/>
      <c r="F106" s="8"/>
      <c r="G106" s="8"/>
      <c r="H106" s="8"/>
      <c r="I106" s="9"/>
      <c r="J106" s="9"/>
      <c r="K106" s="9"/>
      <c r="L106" s="9"/>
      <c r="M106" s="9"/>
      <c r="N106" s="9"/>
      <c r="O106" s="8"/>
      <c r="P106" s="8"/>
      <c r="Q106" s="8"/>
      <c r="R106" s="8"/>
      <c r="S106" s="8"/>
      <c r="T106" s="8"/>
      <c r="U106" s="9"/>
      <c r="V106" s="9"/>
      <c r="W106" s="9"/>
      <c r="X106" s="9"/>
      <c r="Y106" s="9"/>
      <c r="Z106" s="9"/>
    </row>
    <row r="107" spans="1:26" ht="33.75" customHeight="1" x14ac:dyDescent="0.25">
      <c r="A107" s="39">
        <v>306</v>
      </c>
      <c r="B107" s="3" t="s">
        <v>235</v>
      </c>
      <c r="C107" s="8"/>
      <c r="D107" s="8"/>
      <c r="E107" s="8"/>
      <c r="F107" s="8"/>
      <c r="G107" s="8"/>
      <c r="H107" s="8"/>
      <c r="I107" s="9"/>
      <c r="J107" s="9"/>
      <c r="K107" s="9"/>
      <c r="L107" s="9"/>
      <c r="M107" s="9"/>
      <c r="N107" s="9"/>
      <c r="O107" s="8"/>
      <c r="P107" s="8"/>
      <c r="Q107" s="8"/>
      <c r="R107" s="8"/>
      <c r="S107" s="8"/>
      <c r="T107" s="8"/>
      <c r="U107" s="9"/>
      <c r="V107" s="9"/>
      <c r="W107" s="9"/>
      <c r="X107" s="9"/>
      <c r="Y107" s="9"/>
      <c r="Z107" s="9"/>
    </row>
    <row r="108" spans="1:26" ht="33.75" customHeight="1" x14ac:dyDescent="0.25">
      <c r="A108" s="39">
        <v>311</v>
      </c>
      <c r="B108" s="3" t="s">
        <v>236</v>
      </c>
      <c r="C108" s="8"/>
      <c r="D108" s="8"/>
      <c r="E108" s="8"/>
      <c r="F108" s="8"/>
      <c r="G108" s="8"/>
      <c r="H108" s="8"/>
      <c r="I108" s="9"/>
      <c r="J108" s="9"/>
      <c r="K108" s="9"/>
      <c r="L108" s="9"/>
      <c r="M108" s="9"/>
      <c r="N108" s="9"/>
      <c r="O108" s="8"/>
      <c r="P108" s="8"/>
      <c r="Q108" s="8"/>
      <c r="R108" s="8"/>
      <c r="S108" s="8"/>
      <c r="T108" s="8"/>
      <c r="U108" s="9"/>
      <c r="V108" s="9"/>
      <c r="W108" s="9"/>
      <c r="X108" s="9"/>
      <c r="Y108" s="9"/>
      <c r="Z108" s="9"/>
    </row>
    <row r="109" spans="1:26" ht="33.75" customHeight="1" x14ac:dyDescent="0.25">
      <c r="A109" s="39">
        <v>312</v>
      </c>
      <c r="B109" s="3" t="s">
        <v>237</v>
      </c>
      <c r="C109" s="8"/>
      <c r="D109" s="8"/>
      <c r="E109" s="8"/>
      <c r="F109" s="8"/>
      <c r="G109" s="8"/>
      <c r="H109" s="8"/>
      <c r="I109" s="9"/>
      <c r="J109" s="9"/>
      <c r="K109" s="9"/>
      <c r="L109" s="9"/>
      <c r="M109" s="9"/>
      <c r="N109" s="9"/>
      <c r="O109" s="8"/>
      <c r="P109" s="8"/>
      <c r="Q109" s="8"/>
      <c r="R109" s="8"/>
      <c r="S109" s="8"/>
      <c r="T109" s="8"/>
      <c r="U109" s="9"/>
      <c r="V109" s="9"/>
      <c r="W109" s="9"/>
      <c r="X109" s="9"/>
      <c r="Y109" s="9"/>
      <c r="Z109" s="9"/>
    </row>
    <row r="110" spans="1:26" ht="33.75" customHeight="1" x14ac:dyDescent="0.25">
      <c r="A110" s="39">
        <v>313</v>
      </c>
      <c r="B110" s="38" t="s">
        <v>238</v>
      </c>
      <c r="C110" s="8"/>
      <c r="D110" s="8"/>
      <c r="E110" s="8"/>
      <c r="F110" s="8"/>
      <c r="G110" s="8"/>
      <c r="H110" s="8"/>
      <c r="I110" s="9"/>
      <c r="J110" s="9"/>
      <c r="K110" s="9"/>
      <c r="L110" s="9"/>
      <c r="M110" s="9"/>
      <c r="N110" s="9"/>
      <c r="O110" s="8"/>
      <c r="P110" s="8"/>
      <c r="Q110" s="8"/>
      <c r="R110" s="8"/>
      <c r="S110" s="8"/>
      <c r="T110" s="8"/>
      <c r="U110" s="9"/>
      <c r="V110" s="9"/>
      <c r="W110" s="9"/>
      <c r="X110" s="9"/>
      <c r="Y110" s="9"/>
      <c r="Z110" s="9"/>
    </row>
    <row r="111" spans="1:26" ht="33.75" customHeight="1" x14ac:dyDescent="0.25">
      <c r="A111" s="39">
        <v>314</v>
      </c>
      <c r="B111" s="3" t="s">
        <v>239</v>
      </c>
      <c r="C111" s="8"/>
      <c r="D111" s="8"/>
      <c r="E111" s="8"/>
      <c r="F111" s="8"/>
      <c r="G111" s="8"/>
      <c r="H111" s="8"/>
      <c r="I111" s="9"/>
      <c r="J111" s="9"/>
      <c r="K111" s="9"/>
      <c r="L111" s="9"/>
      <c r="M111" s="9"/>
      <c r="N111" s="9"/>
      <c r="O111" s="8"/>
      <c r="P111" s="8"/>
      <c r="Q111" s="8"/>
      <c r="R111" s="8"/>
      <c r="S111" s="8"/>
      <c r="T111" s="8"/>
      <c r="U111" s="9"/>
      <c r="V111" s="9"/>
      <c r="W111" s="9"/>
      <c r="X111" s="9"/>
      <c r="Y111" s="9"/>
      <c r="Z111" s="9"/>
    </row>
    <row r="112" spans="1:26" ht="33.75" customHeight="1" x14ac:dyDescent="0.25">
      <c r="A112" s="39">
        <v>320</v>
      </c>
      <c r="B112" s="3" t="s">
        <v>240</v>
      </c>
      <c r="C112" s="8"/>
      <c r="D112" s="8"/>
      <c r="E112" s="8"/>
      <c r="F112" s="8"/>
      <c r="G112" s="8"/>
      <c r="H112" s="8"/>
      <c r="I112" s="9"/>
      <c r="J112" s="9"/>
      <c r="K112" s="9"/>
      <c r="L112" s="9"/>
      <c r="M112" s="9"/>
      <c r="N112" s="9"/>
      <c r="O112" s="8"/>
      <c r="P112" s="8"/>
      <c r="Q112" s="8"/>
      <c r="R112" s="8"/>
      <c r="S112" s="8"/>
      <c r="T112" s="8"/>
      <c r="U112" s="9"/>
      <c r="V112" s="9"/>
      <c r="W112" s="9"/>
      <c r="X112" s="9"/>
      <c r="Y112" s="9"/>
      <c r="Z112" s="9"/>
    </row>
    <row r="113" spans="1:26" ht="33.75" customHeight="1" x14ac:dyDescent="0.25">
      <c r="A113" s="39">
        <v>330</v>
      </c>
      <c r="B113" s="3"/>
      <c r="C113" s="8"/>
      <c r="D113" s="8"/>
      <c r="E113" s="8"/>
      <c r="F113" s="8"/>
      <c r="G113" s="8"/>
      <c r="H113" s="8"/>
      <c r="I113" s="9"/>
      <c r="J113" s="9"/>
      <c r="K113" s="9"/>
      <c r="L113" s="9"/>
      <c r="M113" s="9"/>
      <c r="N113" s="9"/>
      <c r="O113" s="8"/>
      <c r="P113" s="8"/>
      <c r="Q113" s="8"/>
      <c r="R113" s="8"/>
      <c r="S113" s="8"/>
      <c r="T113" s="8"/>
      <c r="U113" s="9"/>
      <c r="V113" s="9"/>
      <c r="W113" s="9"/>
      <c r="X113" s="9"/>
      <c r="Y113" s="9"/>
      <c r="Z113" s="9"/>
    </row>
    <row r="114" spans="1:26" ht="33.75" customHeight="1" x14ac:dyDescent="0.25">
      <c r="A114" s="39">
        <v>331</v>
      </c>
      <c r="B114" s="3"/>
      <c r="C114" s="8"/>
      <c r="D114" s="8"/>
      <c r="E114" s="8"/>
      <c r="F114" s="8"/>
      <c r="G114" s="8"/>
      <c r="H114" s="8"/>
      <c r="I114" s="9"/>
      <c r="J114" s="9"/>
      <c r="K114" s="9"/>
      <c r="L114" s="9"/>
      <c r="M114" s="9"/>
      <c r="N114" s="9"/>
      <c r="O114" s="8"/>
      <c r="P114" s="8"/>
      <c r="Q114" s="8"/>
      <c r="R114" s="8"/>
      <c r="S114" s="8"/>
      <c r="T114" s="8"/>
      <c r="U114" s="9"/>
      <c r="V114" s="9"/>
      <c r="W114" s="9"/>
      <c r="X114" s="9"/>
      <c r="Y114" s="9"/>
      <c r="Z114" s="9"/>
    </row>
    <row r="115" spans="1:26" ht="33.75" customHeight="1" x14ac:dyDescent="0.25">
      <c r="A115" s="39">
        <v>332</v>
      </c>
      <c r="B115" s="3"/>
      <c r="C115" s="8"/>
      <c r="D115" s="8"/>
      <c r="E115" s="8"/>
      <c r="F115" s="8"/>
      <c r="G115" s="8"/>
      <c r="H115" s="8"/>
      <c r="I115" s="9"/>
      <c r="J115" s="9"/>
      <c r="K115" s="9"/>
      <c r="L115" s="9"/>
      <c r="M115" s="9"/>
      <c r="N115" s="9"/>
      <c r="O115" s="8"/>
      <c r="P115" s="8"/>
      <c r="Q115" s="8"/>
      <c r="R115" s="8"/>
      <c r="S115" s="8"/>
      <c r="T115" s="8"/>
      <c r="U115" s="9"/>
      <c r="V115" s="9"/>
      <c r="W115" s="9"/>
      <c r="X115" s="9"/>
      <c r="Y115" s="9"/>
      <c r="Z115" s="9"/>
    </row>
    <row r="116" spans="1:26" ht="33.75" customHeight="1" x14ac:dyDescent="0.25">
      <c r="A116" s="39">
        <v>333</v>
      </c>
      <c r="B116" s="3"/>
      <c r="C116" s="8"/>
      <c r="D116" s="8"/>
      <c r="E116" s="8"/>
      <c r="F116" s="8"/>
      <c r="G116" s="8"/>
      <c r="H116" s="8"/>
      <c r="I116" s="9"/>
      <c r="J116" s="9"/>
      <c r="K116" s="9"/>
      <c r="L116" s="9"/>
      <c r="M116" s="9"/>
      <c r="N116" s="9"/>
      <c r="O116" s="8"/>
      <c r="P116" s="8"/>
      <c r="Q116" s="8"/>
      <c r="R116" s="8"/>
      <c r="S116" s="8"/>
      <c r="T116" s="8"/>
      <c r="U116" s="9"/>
      <c r="V116" s="9"/>
      <c r="W116" s="9"/>
      <c r="X116" s="9"/>
      <c r="Y116" s="9"/>
      <c r="Z116" s="9"/>
    </row>
    <row r="117" spans="1:26" ht="33.75" customHeight="1" x14ac:dyDescent="0.25">
      <c r="A117" s="39">
        <v>334</v>
      </c>
      <c r="B117" s="3"/>
      <c r="C117" s="8"/>
      <c r="D117" s="8"/>
      <c r="E117" s="8"/>
      <c r="F117" s="8"/>
      <c r="G117" s="8"/>
      <c r="H117" s="8"/>
      <c r="I117" s="9"/>
      <c r="J117" s="9"/>
      <c r="K117" s="9"/>
      <c r="L117" s="9"/>
      <c r="M117" s="9"/>
      <c r="N117" s="9"/>
      <c r="O117" s="8"/>
      <c r="P117" s="8"/>
      <c r="Q117" s="8"/>
      <c r="R117" s="8"/>
      <c r="S117" s="8"/>
      <c r="T117" s="8"/>
      <c r="U117" s="9"/>
      <c r="V117" s="9"/>
      <c r="W117" s="9"/>
      <c r="X117" s="9"/>
      <c r="Y117" s="9"/>
      <c r="Z117" s="9"/>
    </row>
    <row r="118" spans="1:26" ht="33.75" customHeight="1" x14ac:dyDescent="0.25">
      <c r="A118" s="43" t="s">
        <v>241</v>
      </c>
      <c r="B118" s="43" t="s">
        <v>242</v>
      </c>
      <c r="C118" s="8"/>
      <c r="D118" s="8"/>
      <c r="E118" s="8"/>
      <c r="F118" s="8"/>
      <c r="G118" s="8"/>
      <c r="H118" s="8"/>
      <c r="I118" s="9"/>
      <c r="J118" s="9"/>
      <c r="K118" s="9"/>
      <c r="L118" s="9"/>
      <c r="M118" s="9"/>
      <c r="N118" s="9"/>
      <c r="O118" s="8"/>
      <c r="P118" s="8"/>
      <c r="Q118" s="8"/>
      <c r="R118" s="8"/>
      <c r="S118" s="8"/>
      <c r="T118" s="8"/>
      <c r="U118" s="9"/>
      <c r="V118" s="9"/>
      <c r="W118" s="9"/>
      <c r="X118" s="9"/>
      <c r="Y118" s="9"/>
      <c r="Z118" s="9"/>
    </row>
    <row r="119" spans="1:26" ht="33.75" customHeight="1" x14ac:dyDescent="0.25">
      <c r="A119" s="43" t="s">
        <v>243</v>
      </c>
      <c r="B119" s="43" t="s">
        <v>244</v>
      </c>
      <c r="C119" s="8"/>
      <c r="D119" s="8"/>
      <c r="E119" s="8"/>
      <c r="F119" s="8"/>
      <c r="G119" s="8"/>
      <c r="H119" s="8"/>
      <c r="I119" s="9"/>
      <c r="J119" s="9"/>
      <c r="K119" s="9"/>
      <c r="L119" s="9"/>
      <c r="M119" s="9"/>
      <c r="N119" s="9"/>
      <c r="O119" s="8"/>
      <c r="P119" s="8"/>
      <c r="Q119" s="8"/>
      <c r="R119" s="8"/>
      <c r="S119" s="8"/>
      <c r="T119" s="8"/>
      <c r="U119" s="9"/>
      <c r="V119" s="9"/>
      <c r="W119" s="9"/>
      <c r="X119" s="9"/>
      <c r="Y119" s="9"/>
      <c r="Z119" s="9"/>
    </row>
  </sheetData>
  <mergeCells count="4">
    <mergeCell ref="O2:T2"/>
    <mergeCell ref="U2:Z2"/>
    <mergeCell ref="C2:H2"/>
    <mergeCell ref="I2: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0.39997558519241921"/>
  </sheetPr>
  <dimension ref="A2:Z119"/>
  <sheetViews>
    <sheetView topLeftCell="A23" zoomScale="70" zoomScaleNormal="70" workbookViewId="0">
      <selection activeCell="G53" sqref="G53"/>
    </sheetView>
  </sheetViews>
  <sheetFormatPr baseColWidth="10" defaultRowHeight="15" x14ac:dyDescent="0.25"/>
  <cols>
    <col min="2" max="2" width="13.5703125" bestFit="1" customWidth="1"/>
    <col min="5" max="5" width="13.42578125" customWidth="1"/>
    <col min="10" max="10" width="13.5703125" customWidth="1"/>
    <col min="23" max="23" width="13.28515625" customWidth="1"/>
  </cols>
  <sheetData>
    <row r="2" spans="1:26" s="21" customFormat="1" ht="39" customHeight="1" x14ac:dyDescent="0.25">
      <c r="C2" s="365" t="s">
        <v>61</v>
      </c>
      <c r="D2" s="365"/>
      <c r="E2" s="365"/>
      <c r="F2" s="365"/>
      <c r="G2" s="365"/>
      <c r="H2" s="365"/>
      <c r="I2" s="364" t="s">
        <v>62</v>
      </c>
      <c r="J2" s="364"/>
      <c r="K2" s="364"/>
      <c r="L2" s="364"/>
      <c r="M2" s="364"/>
      <c r="N2" s="364"/>
      <c r="O2" s="365" t="s">
        <v>63</v>
      </c>
      <c r="P2" s="365"/>
      <c r="Q2" s="365"/>
      <c r="R2" s="365"/>
      <c r="S2" s="365"/>
      <c r="T2" s="365"/>
      <c r="U2" s="364" t="s">
        <v>64</v>
      </c>
      <c r="V2" s="364"/>
      <c r="W2" s="364"/>
      <c r="X2" s="364"/>
      <c r="Y2" s="364"/>
      <c r="Z2" s="364"/>
    </row>
    <row r="3" spans="1:26" s="20" customFormat="1" ht="27.75" customHeight="1" x14ac:dyDescent="0.25">
      <c r="A3" s="14" t="s">
        <v>0</v>
      </c>
      <c r="B3" s="15" t="s">
        <v>1</v>
      </c>
      <c r="C3" s="16" t="s">
        <v>7</v>
      </c>
      <c r="D3" s="16" t="s">
        <v>19</v>
      </c>
      <c r="E3" s="16" t="s">
        <v>56</v>
      </c>
      <c r="F3" s="16" t="s">
        <v>7</v>
      </c>
      <c r="G3" s="16" t="s">
        <v>6</v>
      </c>
      <c r="H3" s="17" t="s">
        <v>54</v>
      </c>
      <c r="I3" s="18" t="s">
        <v>7</v>
      </c>
      <c r="J3" s="18" t="s">
        <v>19</v>
      </c>
      <c r="K3" s="18" t="s">
        <v>56</v>
      </c>
      <c r="L3" s="18" t="s">
        <v>7</v>
      </c>
      <c r="M3" s="18" t="s">
        <v>6</v>
      </c>
      <c r="N3" s="19" t="s">
        <v>54</v>
      </c>
      <c r="O3" s="16" t="s">
        <v>7</v>
      </c>
      <c r="P3" s="16" t="s">
        <v>19</v>
      </c>
      <c r="Q3" s="16" t="s">
        <v>56</v>
      </c>
      <c r="R3" s="16" t="s">
        <v>7</v>
      </c>
      <c r="S3" s="16" t="s">
        <v>6</v>
      </c>
      <c r="T3" s="17" t="s">
        <v>54</v>
      </c>
      <c r="U3" s="18" t="s">
        <v>7</v>
      </c>
      <c r="V3" s="18" t="s">
        <v>19</v>
      </c>
      <c r="W3" s="18" t="s">
        <v>56</v>
      </c>
      <c r="X3" s="18" t="s">
        <v>7</v>
      </c>
      <c r="Y3" s="18" t="s">
        <v>6</v>
      </c>
      <c r="Z3" s="19" t="s">
        <v>54</v>
      </c>
    </row>
    <row r="4" spans="1:26" ht="25.5" customHeight="1" x14ac:dyDescent="0.25">
      <c r="A4" s="36">
        <v>2</v>
      </c>
      <c r="B4" s="3" t="s">
        <v>134</v>
      </c>
      <c r="C4" s="1"/>
      <c r="D4" s="1"/>
      <c r="E4" s="1"/>
      <c r="F4" s="1"/>
      <c r="G4" s="1"/>
      <c r="H4" s="1"/>
      <c r="I4" s="9"/>
      <c r="J4" s="9"/>
      <c r="K4" s="9"/>
      <c r="L4" s="9"/>
      <c r="M4" s="9"/>
      <c r="N4" s="9"/>
      <c r="O4" s="1"/>
      <c r="P4" s="1"/>
      <c r="Q4" s="1"/>
      <c r="R4" s="1"/>
      <c r="S4" s="1"/>
      <c r="T4" s="1"/>
      <c r="U4" s="9"/>
      <c r="V4" s="9"/>
      <c r="W4" s="9"/>
      <c r="X4" s="9"/>
      <c r="Y4" s="9"/>
      <c r="Z4" s="9"/>
    </row>
    <row r="5" spans="1:26" ht="25.5" customHeight="1" x14ac:dyDescent="0.25">
      <c r="A5" s="36">
        <v>3</v>
      </c>
      <c r="B5" s="3" t="s">
        <v>135</v>
      </c>
      <c r="C5" s="1"/>
      <c r="D5" s="1"/>
      <c r="E5" s="1"/>
      <c r="F5" s="1"/>
      <c r="G5" s="1"/>
      <c r="H5" s="1"/>
      <c r="I5" s="9"/>
      <c r="J5" s="9"/>
      <c r="K5" s="9"/>
      <c r="L5" s="9"/>
      <c r="M5" s="9"/>
      <c r="N5" s="9"/>
      <c r="O5" s="1"/>
      <c r="P5" s="1"/>
      <c r="Q5" s="1"/>
      <c r="R5" s="1"/>
      <c r="S5" s="1"/>
      <c r="T5" s="1"/>
      <c r="U5" s="9"/>
      <c r="V5" s="9"/>
      <c r="W5" s="9"/>
      <c r="X5" s="9"/>
      <c r="Y5" s="9"/>
      <c r="Z5" s="9"/>
    </row>
    <row r="6" spans="1:26" ht="25.5" customHeight="1" x14ac:dyDescent="0.25">
      <c r="A6" s="36">
        <v>4</v>
      </c>
      <c r="B6" s="3" t="s">
        <v>136</v>
      </c>
      <c r="C6" s="1"/>
      <c r="D6" s="1"/>
      <c r="E6" s="1"/>
      <c r="F6" s="1"/>
      <c r="G6" s="1"/>
      <c r="H6" s="1"/>
      <c r="I6" s="9"/>
      <c r="J6" s="9"/>
      <c r="K6" s="9"/>
      <c r="L6" s="9"/>
      <c r="M6" s="9"/>
      <c r="N6" s="9"/>
      <c r="O6" s="1"/>
      <c r="P6" s="1"/>
      <c r="Q6" s="1"/>
      <c r="R6" s="1"/>
      <c r="S6" s="1"/>
      <c r="T6" s="1"/>
      <c r="U6" s="9"/>
      <c r="V6" s="9"/>
      <c r="W6" s="9"/>
      <c r="X6" s="9"/>
      <c r="Y6" s="9"/>
      <c r="Z6" s="9"/>
    </row>
    <row r="7" spans="1:26" ht="25.5" customHeight="1" x14ac:dyDescent="0.25">
      <c r="A7" s="36">
        <v>6</v>
      </c>
      <c r="B7" s="3" t="s">
        <v>137</v>
      </c>
      <c r="C7" s="1"/>
      <c r="D7" s="1"/>
      <c r="E7" s="1"/>
      <c r="F7" s="1"/>
      <c r="G7" s="1"/>
      <c r="H7" s="1"/>
      <c r="I7" s="9"/>
      <c r="J7" s="9"/>
      <c r="K7" s="9"/>
      <c r="L7" s="9"/>
      <c r="M7" s="9"/>
      <c r="N7" s="9"/>
      <c r="O7" s="1"/>
      <c r="P7" s="1"/>
      <c r="Q7" s="1"/>
      <c r="R7" s="1"/>
      <c r="S7" s="1"/>
      <c r="T7" s="1"/>
      <c r="U7" s="9"/>
      <c r="V7" s="9"/>
      <c r="W7" s="9"/>
      <c r="X7" s="9"/>
      <c r="Y7" s="9"/>
      <c r="Z7" s="9"/>
    </row>
    <row r="8" spans="1:26" ht="25.5" customHeight="1" x14ac:dyDescent="0.25">
      <c r="A8" s="36">
        <v>7</v>
      </c>
      <c r="B8" s="3" t="s">
        <v>138</v>
      </c>
      <c r="C8" s="1"/>
      <c r="D8" s="1"/>
      <c r="E8" s="1"/>
      <c r="F8" s="1"/>
      <c r="G8" s="1"/>
      <c r="H8" s="1"/>
      <c r="I8" s="9"/>
      <c r="J8" s="9"/>
      <c r="K8" s="9"/>
      <c r="L8" s="9"/>
      <c r="M8" s="9"/>
      <c r="N8" s="9"/>
      <c r="O8" s="1"/>
      <c r="P8" s="1"/>
      <c r="Q8" s="1"/>
      <c r="R8" s="1"/>
      <c r="S8" s="1"/>
      <c r="T8" s="1"/>
      <c r="U8" s="9"/>
      <c r="V8" s="9"/>
      <c r="W8" s="9"/>
      <c r="X8" s="9"/>
      <c r="Y8" s="9"/>
      <c r="Z8" s="9"/>
    </row>
    <row r="9" spans="1:26" ht="25.5" customHeight="1" x14ac:dyDescent="0.25">
      <c r="A9" s="36">
        <v>8</v>
      </c>
      <c r="B9" s="3" t="s">
        <v>139</v>
      </c>
      <c r="C9" s="1"/>
      <c r="D9" s="1"/>
      <c r="E9" s="1"/>
      <c r="F9" s="1"/>
      <c r="G9" s="1"/>
      <c r="H9" s="1"/>
      <c r="I9" s="9"/>
      <c r="J9" s="9"/>
      <c r="K9" s="9"/>
      <c r="L9" s="9"/>
      <c r="M9" s="9"/>
      <c r="N9" s="9"/>
      <c r="O9" s="1"/>
      <c r="P9" s="1"/>
      <c r="Q9" s="1"/>
      <c r="R9" s="1"/>
      <c r="S9" s="1"/>
      <c r="T9" s="1"/>
      <c r="U9" s="9"/>
      <c r="V9" s="9"/>
      <c r="W9" s="9"/>
      <c r="X9" s="9"/>
      <c r="Y9" s="9"/>
      <c r="Z9" s="9"/>
    </row>
    <row r="10" spans="1:26" ht="25.5" customHeight="1" x14ac:dyDescent="0.25">
      <c r="A10" s="36">
        <v>9</v>
      </c>
      <c r="B10" s="3" t="s">
        <v>140</v>
      </c>
      <c r="C10" s="1"/>
      <c r="D10" s="1"/>
      <c r="E10" s="1"/>
      <c r="F10" s="1"/>
      <c r="G10" s="1"/>
      <c r="H10" s="1"/>
      <c r="I10" s="9"/>
      <c r="J10" s="9"/>
      <c r="K10" s="9"/>
      <c r="L10" s="9"/>
      <c r="M10" s="9"/>
      <c r="N10" s="9"/>
      <c r="O10" s="1"/>
      <c r="P10" s="1"/>
      <c r="Q10" s="1"/>
      <c r="R10" s="1"/>
      <c r="S10" s="1"/>
      <c r="T10" s="1"/>
      <c r="U10" s="9"/>
      <c r="V10" s="9"/>
      <c r="W10" s="9"/>
      <c r="X10" s="9"/>
      <c r="Y10" s="9"/>
      <c r="Z10" s="9"/>
    </row>
    <row r="11" spans="1:26" ht="25.5" customHeight="1" x14ac:dyDescent="0.25">
      <c r="A11" s="37">
        <v>10</v>
      </c>
      <c r="B11" s="3" t="s">
        <v>141</v>
      </c>
      <c r="C11" s="1"/>
      <c r="D11" s="1"/>
      <c r="E11" s="1"/>
      <c r="F11" s="1"/>
      <c r="G11" s="1"/>
      <c r="H11" s="1"/>
      <c r="I11" s="9"/>
      <c r="J11" s="9"/>
      <c r="K11" s="9"/>
      <c r="L11" s="9"/>
      <c r="M11" s="9"/>
      <c r="N11" s="9"/>
      <c r="O11" s="1"/>
      <c r="P11" s="1"/>
      <c r="Q11" s="1"/>
      <c r="R11" s="1"/>
      <c r="S11" s="1"/>
      <c r="T11" s="1"/>
      <c r="U11" s="9"/>
      <c r="V11" s="9"/>
      <c r="W11" s="9"/>
      <c r="X11" s="9"/>
      <c r="Y11" s="9"/>
      <c r="Z11" s="9"/>
    </row>
    <row r="12" spans="1:26" ht="25.5" customHeight="1" x14ac:dyDescent="0.25">
      <c r="A12" s="37">
        <v>11</v>
      </c>
      <c r="B12" s="38" t="s">
        <v>142</v>
      </c>
      <c r="C12" s="1"/>
      <c r="D12" s="1"/>
      <c r="E12" s="1"/>
      <c r="F12" s="1"/>
      <c r="G12" s="1"/>
      <c r="H12" s="1"/>
      <c r="I12" s="9"/>
      <c r="J12" s="9"/>
      <c r="K12" s="9"/>
      <c r="L12" s="9"/>
      <c r="M12" s="9"/>
      <c r="N12" s="9"/>
      <c r="O12" s="1"/>
      <c r="P12" s="1"/>
      <c r="Q12" s="1"/>
      <c r="R12" s="1"/>
      <c r="S12" s="1"/>
      <c r="T12" s="1"/>
      <c r="U12" s="9"/>
      <c r="V12" s="9"/>
      <c r="W12" s="9"/>
      <c r="X12" s="9"/>
      <c r="Y12" s="9"/>
      <c r="Z12" s="9"/>
    </row>
    <row r="13" spans="1:26" ht="25.5" customHeight="1" x14ac:dyDescent="0.25">
      <c r="A13" s="39">
        <v>13</v>
      </c>
      <c r="B13" s="38" t="s">
        <v>143</v>
      </c>
      <c r="C13" s="1"/>
      <c r="D13" s="1"/>
      <c r="E13" s="1"/>
      <c r="F13" s="1"/>
      <c r="G13" s="1"/>
      <c r="H13" s="1"/>
      <c r="I13" s="9"/>
      <c r="J13" s="9"/>
      <c r="K13" s="9"/>
      <c r="L13" s="9"/>
      <c r="M13" s="9"/>
      <c r="N13" s="9"/>
      <c r="O13" s="1"/>
      <c r="P13" s="1"/>
      <c r="Q13" s="1"/>
      <c r="R13" s="1"/>
      <c r="S13" s="1"/>
      <c r="T13" s="1"/>
      <c r="U13" s="9"/>
      <c r="V13" s="9"/>
      <c r="W13" s="9"/>
      <c r="X13" s="9"/>
      <c r="Y13" s="9"/>
      <c r="Z13" s="9"/>
    </row>
    <row r="14" spans="1:26" ht="25.5" customHeight="1" x14ac:dyDescent="0.25">
      <c r="A14" s="39">
        <v>99</v>
      </c>
      <c r="B14" s="3" t="s">
        <v>144</v>
      </c>
      <c r="C14" s="1"/>
      <c r="D14" s="1"/>
      <c r="E14" s="1"/>
      <c r="F14" s="1"/>
      <c r="G14" s="1"/>
      <c r="H14" s="1"/>
      <c r="I14" s="9"/>
      <c r="J14" s="9"/>
      <c r="K14" s="9"/>
      <c r="L14" s="9"/>
      <c r="M14" s="9"/>
      <c r="N14" s="9"/>
      <c r="O14" s="1"/>
      <c r="P14" s="1"/>
      <c r="Q14" s="1"/>
      <c r="R14" s="1"/>
      <c r="S14" s="1"/>
      <c r="T14" s="1"/>
      <c r="U14" s="9"/>
      <c r="V14" s="9"/>
      <c r="W14" s="9"/>
      <c r="X14" s="9"/>
      <c r="Y14" s="9"/>
      <c r="Z14" s="9"/>
    </row>
    <row r="15" spans="1:26" ht="25.5" customHeight="1" x14ac:dyDescent="0.25">
      <c r="A15" s="36">
        <v>125</v>
      </c>
      <c r="B15" s="3" t="s">
        <v>145</v>
      </c>
      <c r="C15" s="1"/>
      <c r="D15" s="1"/>
      <c r="E15" s="1"/>
      <c r="F15" s="1"/>
      <c r="G15" s="1"/>
      <c r="H15" s="1"/>
      <c r="I15" s="9"/>
      <c r="J15" s="9"/>
      <c r="K15" s="9"/>
      <c r="L15" s="9"/>
      <c r="M15" s="9"/>
      <c r="N15" s="9"/>
      <c r="O15" s="1"/>
      <c r="P15" s="1"/>
      <c r="Q15" s="1"/>
      <c r="R15" s="1"/>
      <c r="S15" s="1"/>
      <c r="T15" s="1"/>
      <c r="U15" s="9"/>
      <c r="V15" s="9"/>
      <c r="W15" s="9"/>
      <c r="X15" s="9"/>
      <c r="Y15" s="9"/>
      <c r="Z15" s="9"/>
    </row>
    <row r="16" spans="1:26" ht="25.5" customHeight="1" x14ac:dyDescent="0.25">
      <c r="A16" s="36">
        <v>130</v>
      </c>
      <c r="B16" s="3" t="s">
        <v>146</v>
      </c>
      <c r="C16" s="1"/>
      <c r="D16" s="1"/>
      <c r="E16" s="165">
        <v>479584</v>
      </c>
      <c r="F16" s="166">
        <v>45800</v>
      </c>
      <c r="G16" s="1"/>
      <c r="H16" s="1"/>
      <c r="I16" s="9"/>
      <c r="J16" s="9"/>
      <c r="K16" s="154">
        <v>479584</v>
      </c>
      <c r="L16" s="155">
        <v>45800</v>
      </c>
      <c r="M16" s="9"/>
      <c r="N16" s="9"/>
      <c r="O16" s="1"/>
      <c r="P16" s="1"/>
      <c r="Q16" s="1"/>
      <c r="R16" s="1"/>
      <c r="S16" s="1"/>
      <c r="T16" s="1"/>
      <c r="U16" s="9"/>
      <c r="V16" s="9"/>
      <c r="W16" s="9"/>
      <c r="X16" s="9"/>
      <c r="Y16" s="9"/>
      <c r="Z16" s="9"/>
    </row>
    <row r="17" spans="1:26" ht="25.5" customHeight="1" x14ac:dyDescent="0.25">
      <c r="A17" s="36">
        <v>131</v>
      </c>
      <c r="B17" s="3" t="s">
        <v>147</v>
      </c>
      <c r="C17" s="1"/>
      <c r="D17" s="1"/>
      <c r="E17" s="1"/>
      <c r="F17" s="1"/>
      <c r="G17" s="1"/>
      <c r="H17" s="1"/>
      <c r="I17" s="9"/>
      <c r="J17" s="9"/>
      <c r="K17" s="9"/>
      <c r="L17" s="9"/>
      <c r="M17" s="9"/>
      <c r="N17" s="9"/>
      <c r="O17" s="1"/>
      <c r="P17" s="1"/>
      <c r="Q17" s="1"/>
      <c r="R17" s="1"/>
      <c r="S17" s="1"/>
      <c r="T17" s="1"/>
      <c r="U17" s="9"/>
      <c r="V17" s="9"/>
      <c r="W17" s="9"/>
      <c r="X17" s="9"/>
      <c r="Y17" s="9"/>
      <c r="Z17" s="9"/>
    </row>
    <row r="18" spans="1:26" ht="25.5" customHeight="1" x14ac:dyDescent="0.25">
      <c r="A18" s="36">
        <v>132</v>
      </c>
      <c r="B18" s="3" t="s">
        <v>148</v>
      </c>
      <c r="C18" s="1"/>
      <c r="D18" s="1"/>
      <c r="E18" s="1"/>
      <c r="F18" s="1"/>
      <c r="G18" s="1"/>
      <c r="H18" s="1"/>
      <c r="I18" s="9"/>
      <c r="J18" s="9"/>
      <c r="K18" s="9"/>
      <c r="L18" s="9"/>
      <c r="M18" s="9"/>
      <c r="N18" s="9"/>
      <c r="O18" s="1"/>
      <c r="P18" s="1"/>
      <c r="Q18" s="1"/>
      <c r="R18" s="1"/>
      <c r="S18" s="1"/>
      <c r="T18" s="1"/>
      <c r="U18" s="9"/>
      <c r="V18" s="9"/>
      <c r="W18" s="9"/>
      <c r="X18" s="9"/>
      <c r="Y18" s="9"/>
      <c r="Z18" s="9"/>
    </row>
    <row r="19" spans="1:26" ht="25.5" customHeight="1" x14ac:dyDescent="0.25">
      <c r="A19" s="36">
        <v>133</v>
      </c>
      <c r="B19" s="3" t="s">
        <v>149</v>
      </c>
      <c r="C19" s="1"/>
      <c r="D19" s="1"/>
      <c r="E19" s="1"/>
      <c r="F19" s="1"/>
      <c r="G19" s="1"/>
      <c r="H19" s="1"/>
      <c r="I19" s="9"/>
      <c r="J19" s="9"/>
      <c r="K19" s="9"/>
      <c r="L19" s="9"/>
      <c r="M19" s="9"/>
      <c r="N19" s="9"/>
      <c r="O19" s="1"/>
      <c r="P19" s="1"/>
      <c r="Q19" s="1"/>
      <c r="R19" s="1"/>
      <c r="S19" s="1"/>
      <c r="T19" s="1"/>
      <c r="U19" s="9"/>
      <c r="V19" s="9"/>
      <c r="W19" s="9"/>
      <c r="X19" s="9"/>
      <c r="Y19" s="9"/>
      <c r="Z19" s="9"/>
    </row>
    <row r="20" spans="1:26" ht="25.5" customHeight="1" x14ac:dyDescent="0.25">
      <c r="A20" s="36">
        <v>134</v>
      </c>
      <c r="B20" s="3" t="s">
        <v>150</v>
      </c>
      <c r="C20" s="1"/>
      <c r="D20" s="1"/>
      <c r="E20" s="1"/>
      <c r="F20" s="1"/>
      <c r="G20" s="1"/>
      <c r="H20" s="1"/>
      <c r="I20" s="9"/>
      <c r="J20" s="9"/>
      <c r="K20" s="9"/>
      <c r="L20" s="9"/>
      <c r="M20" s="9"/>
      <c r="N20" s="9"/>
      <c r="O20" s="1"/>
      <c r="P20" s="1"/>
      <c r="Q20" s="1"/>
      <c r="R20" s="1"/>
      <c r="S20" s="1"/>
      <c r="T20" s="1"/>
      <c r="U20" s="9"/>
      <c r="V20" s="9"/>
      <c r="W20" s="9"/>
      <c r="X20" s="9"/>
      <c r="Y20" s="9"/>
      <c r="Z20" s="9"/>
    </row>
    <row r="21" spans="1:26" ht="25.5" customHeight="1" x14ac:dyDescent="0.25">
      <c r="A21" s="36">
        <v>135</v>
      </c>
      <c r="B21" s="3" t="s">
        <v>151</v>
      </c>
      <c r="C21" s="1"/>
      <c r="D21" s="1"/>
      <c r="E21" s="165">
        <v>587636</v>
      </c>
      <c r="F21" s="166">
        <v>45826</v>
      </c>
      <c r="G21" s="1"/>
      <c r="H21" s="1"/>
      <c r="I21" s="9"/>
      <c r="J21" s="9"/>
      <c r="K21" s="9"/>
      <c r="L21" s="9"/>
      <c r="M21" s="9"/>
      <c r="N21" s="9"/>
      <c r="O21" s="1"/>
      <c r="P21" s="1"/>
      <c r="Q21" s="1"/>
      <c r="R21" s="1"/>
      <c r="S21" s="1"/>
      <c r="T21" s="1"/>
      <c r="U21" s="9"/>
      <c r="V21" s="9"/>
      <c r="W21" s="9"/>
      <c r="X21" s="9"/>
      <c r="Y21" s="9"/>
      <c r="Z21" s="9"/>
    </row>
    <row r="22" spans="1:26" ht="25.5" customHeight="1" x14ac:dyDescent="0.25">
      <c r="A22" s="36">
        <v>136</v>
      </c>
      <c r="B22" s="3" t="s">
        <v>152</v>
      </c>
      <c r="C22" s="1"/>
      <c r="D22" s="1"/>
      <c r="E22" s="1"/>
      <c r="F22" s="1"/>
      <c r="G22" s="1"/>
      <c r="H22" s="1"/>
      <c r="I22" s="9"/>
      <c r="J22" s="9"/>
      <c r="K22" s="9"/>
      <c r="L22" s="9"/>
      <c r="M22" s="9"/>
      <c r="N22" s="9"/>
      <c r="O22" s="1"/>
      <c r="P22" s="1"/>
      <c r="Q22" s="1"/>
      <c r="R22" s="1"/>
      <c r="S22" s="1"/>
      <c r="T22" s="1"/>
      <c r="U22" s="9"/>
      <c r="V22" s="9"/>
      <c r="W22" s="9"/>
      <c r="X22" s="9"/>
      <c r="Y22" s="9"/>
      <c r="Z22" s="9"/>
    </row>
    <row r="23" spans="1:26" ht="25.5" customHeight="1" x14ac:dyDescent="0.25">
      <c r="A23" s="36">
        <v>137</v>
      </c>
      <c r="B23" s="3" t="s">
        <v>153</v>
      </c>
      <c r="C23" s="1"/>
      <c r="D23" s="1"/>
      <c r="E23" s="1"/>
      <c r="F23" s="1"/>
      <c r="G23" s="1"/>
      <c r="H23" s="1"/>
      <c r="I23" s="9"/>
      <c r="J23" s="9"/>
      <c r="K23" s="9"/>
      <c r="L23" s="9"/>
      <c r="M23" s="9"/>
      <c r="N23" s="9"/>
      <c r="O23" s="1"/>
      <c r="P23" s="1"/>
      <c r="Q23" s="1"/>
      <c r="R23" s="1"/>
      <c r="S23" s="1"/>
      <c r="T23" s="1"/>
      <c r="U23" s="9"/>
      <c r="V23" s="9"/>
      <c r="W23" s="9"/>
      <c r="X23" s="9"/>
      <c r="Y23" s="9"/>
      <c r="Z23" s="9"/>
    </row>
    <row r="24" spans="1:26" ht="25.5" customHeight="1" x14ac:dyDescent="0.25">
      <c r="A24" s="36">
        <v>138</v>
      </c>
      <c r="B24" s="3" t="s">
        <v>154</v>
      </c>
      <c r="C24" s="1"/>
      <c r="D24" s="1"/>
      <c r="E24" s="1"/>
      <c r="F24" s="1"/>
      <c r="G24" s="1"/>
      <c r="H24" s="1"/>
      <c r="I24" s="9"/>
      <c r="J24" s="9"/>
      <c r="K24" s="9"/>
      <c r="L24" s="9"/>
      <c r="M24" s="9"/>
      <c r="N24" s="9"/>
      <c r="O24" s="1"/>
      <c r="P24" s="1"/>
      <c r="Q24" s="1"/>
      <c r="R24" s="1"/>
      <c r="S24" s="1"/>
      <c r="T24" s="1"/>
      <c r="U24" s="9"/>
      <c r="V24" s="9"/>
      <c r="W24" s="9"/>
      <c r="X24" s="9"/>
      <c r="Y24" s="9"/>
      <c r="Z24" s="9"/>
    </row>
    <row r="25" spans="1:26" ht="25.5" customHeight="1" x14ac:dyDescent="0.25">
      <c r="A25" s="36">
        <v>139</v>
      </c>
      <c r="B25" s="3" t="s">
        <v>155</v>
      </c>
      <c r="C25" s="1"/>
      <c r="D25" s="1"/>
      <c r="E25" s="1"/>
      <c r="F25" s="1"/>
      <c r="G25" s="1"/>
      <c r="H25" s="1"/>
      <c r="I25" s="9"/>
      <c r="J25" s="9"/>
      <c r="K25" s="9"/>
      <c r="L25" s="9"/>
      <c r="M25" s="9"/>
      <c r="N25" s="9"/>
      <c r="O25" s="1"/>
      <c r="P25" s="1"/>
      <c r="Q25" s="1"/>
      <c r="R25" s="1"/>
      <c r="S25" s="1"/>
      <c r="T25" s="1"/>
      <c r="U25" s="9"/>
      <c r="V25" s="9"/>
      <c r="W25" s="9"/>
      <c r="X25" s="9"/>
      <c r="Y25" s="9"/>
      <c r="Z25" s="9"/>
    </row>
    <row r="26" spans="1:26" ht="25.5" customHeight="1" x14ac:dyDescent="0.25">
      <c r="A26" s="36">
        <v>142</v>
      </c>
      <c r="B26" s="3" t="s">
        <v>156</v>
      </c>
      <c r="C26" s="1"/>
      <c r="D26" s="1"/>
      <c r="E26" s="1"/>
      <c r="F26" s="1"/>
      <c r="G26" s="1"/>
      <c r="H26" s="1"/>
      <c r="I26" s="9"/>
      <c r="J26" s="9"/>
      <c r="K26" s="9"/>
      <c r="L26" s="9"/>
      <c r="M26" s="9"/>
      <c r="N26" s="9"/>
      <c r="O26" s="1"/>
      <c r="P26" s="1"/>
      <c r="Q26" s="1"/>
      <c r="R26" s="1"/>
      <c r="S26" s="1"/>
      <c r="T26" s="1"/>
      <c r="U26" s="9"/>
      <c r="V26" s="9"/>
      <c r="W26" s="9"/>
      <c r="X26" s="9"/>
      <c r="Y26" s="9"/>
      <c r="Z26" s="9"/>
    </row>
    <row r="27" spans="1:26" ht="25.5" customHeight="1" x14ac:dyDescent="0.25">
      <c r="A27" s="36">
        <v>145</v>
      </c>
      <c r="B27" s="3" t="s">
        <v>157</v>
      </c>
      <c r="C27" s="1"/>
      <c r="D27" s="1"/>
      <c r="E27" s="1"/>
      <c r="F27" s="1"/>
      <c r="G27" s="1"/>
      <c r="H27" s="1"/>
      <c r="I27" s="9"/>
      <c r="J27" s="9"/>
      <c r="K27" s="9"/>
      <c r="L27" s="9"/>
      <c r="M27" s="9"/>
      <c r="N27" s="9"/>
      <c r="O27" s="1"/>
      <c r="P27" s="1"/>
      <c r="Q27" s="1"/>
      <c r="R27" s="1"/>
      <c r="S27" s="1"/>
      <c r="T27" s="1"/>
      <c r="U27" s="9"/>
      <c r="V27" s="9"/>
      <c r="W27" s="9"/>
      <c r="X27" s="9"/>
      <c r="Y27" s="9"/>
      <c r="Z27" s="9"/>
    </row>
    <row r="28" spans="1:26" ht="25.5" customHeight="1" x14ac:dyDescent="0.25">
      <c r="A28" s="36">
        <v>146</v>
      </c>
      <c r="B28" s="3" t="s">
        <v>158</v>
      </c>
      <c r="C28" s="1"/>
      <c r="D28" s="1"/>
      <c r="E28" s="1"/>
      <c r="F28" s="1"/>
      <c r="G28" s="1"/>
      <c r="H28" s="1"/>
      <c r="I28" s="9"/>
      <c r="J28" s="9"/>
      <c r="K28" s="9"/>
      <c r="L28" s="9"/>
      <c r="M28" s="9"/>
      <c r="N28" s="9"/>
      <c r="O28" s="1"/>
      <c r="P28" s="1"/>
      <c r="Q28" s="1"/>
      <c r="R28" s="1"/>
      <c r="S28" s="1"/>
      <c r="T28" s="1"/>
      <c r="U28" s="9"/>
      <c r="V28" s="9"/>
      <c r="W28" s="9"/>
      <c r="X28" s="9"/>
      <c r="Y28" s="9"/>
      <c r="Z28" s="9"/>
    </row>
    <row r="29" spans="1:26" ht="25.5" customHeight="1" x14ac:dyDescent="0.25">
      <c r="A29" s="36">
        <v>147</v>
      </c>
      <c r="B29" s="3" t="s">
        <v>159</v>
      </c>
      <c r="C29" s="1"/>
      <c r="D29" s="1"/>
      <c r="E29" s="1"/>
      <c r="F29" s="1"/>
      <c r="G29" s="1"/>
      <c r="H29" s="1"/>
      <c r="I29" s="9"/>
      <c r="J29" s="9"/>
      <c r="K29" s="9"/>
      <c r="L29" s="9"/>
      <c r="M29" s="9"/>
      <c r="N29" s="9"/>
      <c r="O29" s="1"/>
      <c r="P29" s="1"/>
      <c r="Q29" s="1"/>
      <c r="R29" s="1"/>
      <c r="S29" s="1"/>
      <c r="T29" s="1"/>
      <c r="U29" s="9"/>
      <c r="V29" s="9"/>
      <c r="W29" s="9"/>
      <c r="X29" s="9"/>
      <c r="Y29" s="9"/>
      <c r="Z29" s="9"/>
    </row>
    <row r="30" spans="1:26" ht="25.5" customHeight="1" x14ac:dyDescent="0.25">
      <c r="A30" s="36">
        <v>148</v>
      </c>
      <c r="B30" s="3" t="s">
        <v>160</v>
      </c>
      <c r="C30" s="1"/>
      <c r="D30" s="1"/>
      <c r="E30" s="1"/>
      <c r="F30" s="1"/>
      <c r="G30" s="1"/>
      <c r="H30" s="1"/>
      <c r="I30" s="9"/>
      <c r="J30" s="9"/>
      <c r="K30" s="9"/>
      <c r="L30" s="9"/>
      <c r="M30" s="9"/>
      <c r="N30" s="9"/>
      <c r="O30" s="1"/>
      <c r="P30" s="1"/>
      <c r="Q30" s="1"/>
      <c r="R30" s="1"/>
      <c r="S30" s="1"/>
      <c r="T30" s="1"/>
      <c r="U30" s="9"/>
      <c r="V30" s="9"/>
      <c r="W30" s="9"/>
      <c r="X30" s="9"/>
      <c r="Y30" s="9"/>
      <c r="Z30" s="9"/>
    </row>
    <row r="31" spans="1:26" ht="25.5" customHeight="1" x14ac:dyDescent="0.25">
      <c r="A31" s="36">
        <v>152</v>
      </c>
      <c r="B31" s="3" t="s">
        <v>260</v>
      </c>
      <c r="C31" s="1"/>
      <c r="D31" s="1"/>
      <c r="E31" s="1"/>
      <c r="F31" s="1"/>
      <c r="G31" s="1"/>
      <c r="H31" s="1"/>
      <c r="I31" s="9"/>
      <c r="J31" s="9"/>
      <c r="K31" s="9"/>
      <c r="L31" s="9"/>
      <c r="M31" s="9"/>
      <c r="N31" s="9"/>
      <c r="O31" s="1"/>
      <c r="P31" s="1"/>
      <c r="Q31" s="1"/>
      <c r="R31" s="1"/>
      <c r="S31" s="1"/>
      <c r="T31" s="1"/>
      <c r="U31" s="9"/>
      <c r="V31" s="9"/>
      <c r="W31" s="9"/>
      <c r="X31" s="9"/>
      <c r="Y31" s="9"/>
      <c r="Z31" s="9"/>
    </row>
    <row r="32" spans="1:26" ht="25.5" customHeight="1" x14ac:dyDescent="0.25">
      <c r="A32" s="36">
        <v>153</v>
      </c>
      <c r="B32" s="3" t="s">
        <v>161</v>
      </c>
      <c r="C32" s="1"/>
      <c r="D32" s="1"/>
      <c r="E32" s="1"/>
      <c r="F32" s="1"/>
      <c r="G32" s="1"/>
      <c r="H32" s="1"/>
      <c r="I32" s="9"/>
      <c r="J32" s="9"/>
      <c r="K32" s="9"/>
      <c r="L32" s="9"/>
      <c r="M32" s="9"/>
      <c r="N32" s="9"/>
      <c r="O32" s="1"/>
      <c r="P32" s="1"/>
      <c r="Q32" s="1"/>
      <c r="R32" s="1"/>
      <c r="S32" s="1"/>
      <c r="T32" s="1"/>
      <c r="U32" s="9"/>
      <c r="V32" s="9"/>
      <c r="W32" s="9"/>
      <c r="X32" s="9"/>
      <c r="Y32" s="9"/>
      <c r="Z32" s="9"/>
    </row>
    <row r="33" spans="1:26" ht="25.5" customHeight="1" x14ac:dyDescent="0.25">
      <c r="A33" s="36">
        <v>154</v>
      </c>
      <c r="B33" s="3" t="s">
        <v>162</v>
      </c>
      <c r="C33" s="1"/>
      <c r="D33" s="1"/>
      <c r="E33" s="1"/>
      <c r="F33" s="1"/>
      <c r="G33" s="1"/>
      <c r="H33" s="1"/>
      <c r="I33" s="9"/>
      <c r="J33" s="9"/>
      <c r="K33" s="9"/>
      <c r="L33" s="9"/>
      <c r="M33" s="9"/>
      <c r="N33" s="9"/>
      <c r="O33" s="1"/>
      <c r="P33" s="1"/>
      <c r="Q33" s="1"/>
      <c r="R33" s="1"/>
      <c r="S33" s="1"/>
      <c r="T33" s="1"/>
      <c r="U33" s="9"/>
      <c r="V33" s="9"/>
      <c r="W33" s="9"/>
      <c r="X33" s="9"/>
      <c r="Y33" s="9"/>
      <c r="Z33" s="9"/>
    </row>
    <row r="34" spans="1:26" ht="25.5" customHeight="1" x14ac:dyDescent="0.25">
      <c r="A34" s="36">
        <v>156</v>
      </c>
      <c r="B34" s="3" t="s">
        <v>163</v>
      </c>
      <c r="C34" s="1"/>
      <c r="D34" s="1"/>
      <c r="E34" s="1"/>
      <c r="F34" s="1"/>
      <c r="G34" s="1"/>
      <c r="H34" s="1"/>
      <c r="I34" s="9"/>
      <c r="J34" s="9"/>
      <c r="K34" s="9"/>
      <c r="L34" s="9"/>
      <c r="M34" s="9"/>
      <c r="N34" s="9"/>
      <c r="O34" s="1"/>
      <c r="P34" s="1"/>
      <c r="Q34" s="1"/>
      <c r="R34" s="1"/>
      <c r="S34" s="1"/>
      <c r="T34" s="1"/>
      <c r="U34" s="9"/>
      <c r="V34" s="9"/>
      <c r="W34" s="9"/>
      <c r="X34" s="9"/>
      <c r="Y34" s="9"/>
      <c r="Z34" s="9"/>
    </row>
    <row r="35" spans="1:26" ht="25.5" customHeight="1" x14ac:dyDescent="0.25">
      <c r="A35" s="36">
        <v>158</v>
      </c>
      <c r="B35" s="3" t="s">
        <v>164</v>
      </c>
      <c r="C35" s="1"/>
      <c r="D35" s="1"/>
      <c r="E35" s="1"/>
      <c r="F35" s="1"/>
      <c r="G35" s="1"/>
      <c r="H35" s="1"/>
      <c r="I35" s="9"/>
      <c r="J35" s="9"/>
      <c r="K35" s="9"/>
      <c r="L35" s="9"/>
      <c r="M35" s="9"/>
      <c r="N35" s="9"/>
      <c r="O35" s="1"/>
      <c r="P35" s="1"/>
      <c r="Q35" s="1"/>
      <c r="R35" s="1"/>
      <c r="S35" s="1"/>
      <c r="T35" s="1"/>
      <c r="U35" s="9"/>
      <c r="V35" s="9"/>
      <c r="W35" s="9"/>
      <c r="X35" s="9"/>
      <c r="Y35" s="9"/>
      <c r="Z35" s="9"/>
    </row>
    <row r="36" spans="1:26" ht="25.5" customHeight="1" x14ac:dyDescent="0.25">
      <c r="A36" s="36">
        <v>159</v>
      </c>
      <c r="B36" s="3" t="s">
        <v>165</v>
      </c>
      <c r="C36" s="1"/>
      <c r="D36" s="1"/>
      <c r="E36" s="1"/>
      <c r="F36" s="1"/>
      <c r="G36" s="1"/>
      <c r="H36" s="1"/>
      <c r="I36" s="9"/>
      <c r="J36" s="9"/>
      <c r="K36" s="9"/>
      <c r="L36" s="9"/>
      <c r="M36" s="9"/>
      <c r="N36" s="9"/>
      <c r="O36" s="1"/>
      <c r="P36" s="1"/>
      <c r="Q36" s="1"/>
      <c r="R36" s="1"/>
      <c r="S36" s="1"/>
      <c r="T36" s="1"/>
      <c r="U36" s="9"/>
      <c r="V36" s="9"/>
      <c r="W36" s="9"/>
      <c r="X36" s="9"/>
      <c r="Y36" s="9"/>
      <c r="Z36" s="9"/>
    </row>
    <row r="37" spans="1:26" ht="25.5" customHeight="1" x14ac:dyDescent="0.25">
      <c r="A37" s="36">
        <v>160</v>
      </c>
      <c r="B37" s="3" t="s">
        <v>166</v>
      </c>
      <c r="C37" s="1"/>
      <c r="D37" s="1"/>
      <c r="E37" s="1"/>
      <c r="F37" s="1"/>
      <c r="G37" s="1"/>
      <c r="H37" s="1"/>
      <c r="I37" s="9"/>
      <c r="J37" s="9"/>
      <c r="K37" s="9"/>
      <c r="L37" s="9"/>
      <c r="M37" s="9"/>
      <c r="N37" s="9"/>
      <c r="O37" s="1"/>
      <c r="P37" s="1"/>
      <c r="Q37" s="1"/>
      <c r="R37" s="1"/>
      <c r="S37" s="1"/>
      <c r="T37" s="1"/>
      <c r="U37" s="9"/>
      <c r="V37" s="9"/>
      <c r="W37" s="9"/>
      <c r="X37" s="9"/>
      <c r="Y37" s="9"/>
      <c r="Z37" s="9"/>
    </row>
    <row r="38" spans="1:26" ht="25.5" customHeight="1" x14ac:dyDescent="0.25">
      <c r="A38" s="36">
        <v>161</v>
      </c>
      <c r="B38" s="3" t="s">
        <v>167</v>
      </c>
      <c r="C38" s="1"/>
      <c r="D38" s="1"/>
      <c r="E38" s="1"/>
      <c r="F38" s="1"/>
      <c r="G38" s="1"/>
      <c r="H38" s="1"/>
      <c r="I38" s="9"/>
      <c r="J38" s="9"/>
      <c r="K38" s="9"/>
      <c r="L38" s="9"/>
      <c r="M38" s="9"/>
      <c r="N38" s="9"/>
      <c r="O38" s="1"/>
      <c r="P38" s="1"/>
      <c r="Q38" s="1"/>
      <c r="R38" s="1"/>
      <c r="S38" s="1"/>
      <c r="T38" s="1"/>
      <c r="U38" s="9"/>
      <c r="V38" s="9"/>
      <c r="W38" s="9"/>
      <c r="X38" s="9"/>
      <c r="Y38" s="9"/>
      <c r="Z38" s="9"/>
    </row>
    <row r="39" spans="1:26" ht="25.5" customHeight="1" x14ac:dyDescent="0.25">
      <c r="A39" s="36">
        <v>162</v>
      </c>
      <c r="B39" s="3" t="s">
        <v>168</v>
      </c>
      <c r="C39" s="1"/>
      <c r="D39" s="1"/>
      <c r="E39" s="1"/>
      <c r="F39" s="1"/>
      <c r="G39" s="1"/>
      <c r="H39" s="1"/>
      <c r="I39" s="9"/>
      <c r="J39" s="9"/>
      <c r="K39" s="9"/>
      <c r="L39" s="9"/>
      <c r="M39" s="9"/>
      <c r="N39" s="9"/>
      <c r="O39" s="1"/>
      <c r="P39" s="1"/>
      <c r="Q39" s="1"/>
      <c r="R39" s="1"/>
      <c r="S39" s="1"/>
      <c r="T39" s="1"/>
      <c r="U39" s="9"/>
      <c r="V39" s="9"/>
      <c r="W39" s="9"/>
      <c r="X39" s="9"/>
      <c r="Y39" s="9"/>
      <c r="Z39" s="9"/>
    </row>
    <row r="40" spans="1:26" ht="25.5" customHeight="1" x14ac:dyDescent="0.25">
      <c r="A40" s="36">
        <v>163</v>
      </c>
      <c r="B40" s="3" t="s">
        <v>169</v>
      </c>
      <c r="C40" s="1"/>
      <c r="D40" s="1"/>
      <c r="E40" s="1"/>
      <c r="F40" s="1"/>
      <c r="G40" s="1"/>
      <c r="H40" s="1"/>
      <c r="I40" s="9"/>
      <c r="J40" s="9"/>
      <c r="K40" s="9"/>
      <c r="L40" s="9"/>
      <c r="M40" s="9"/>
      <c r="N40" s="9"/>
      <c r="O40" s="1"/>
      <c r="P40" s="1"/>
      <c r="Q40" s="1"/>
      <c r="R40" s="1"/>
      <c r="S40" s="1"/>
      <c r="T40" s="1"/>
      <c r="U40" s="9"/>
      <c r="V40" s="9"/>
      <c r="W40" s="9"/>
      <c r="X40" s="9"/>
      <c r="Y40" s="9"/>
      <c r="Z40" s="9"/>
    </row>
    <row r="41" spans="1:26" ht="25.5" customHeight="1" x14ac:dyDescent="0.25">
      <c r="A41" s="36">
        <v>164</v>
      </c>
      <c r="B41" s="3" t="s">
        <v>170</v>
      </c>
      <c r="C41" s="1"/>
      <c r="D41" s="1"/>
      <c r="E41" s="1"/>
      <c r="F41" s="1"/>
      <c r="G41" s="1"/>
      <c r="H41" s="1"/>
      <c r="I41" s="9"/>
      <c r="J41" s="9"/>
      <c r="K41" s="9"/>
      <c r="L41" s="9"/>
      <c r="M41" s="9"/>
      <c r="N41" s="9"/>
      <c r="O41" s="1"/>
      <c r="P41" s="1"/>
      <c r="Q41" s="1"/>
      <c r="R41" s="1"/>
      <c r="S41" s="1"/>
      <c r="T41" s="1"/>
      <c r="U41" s="9"/>
      <c r="V41" s="9"/>
      <c r="W41" s="9"/>
      <c r="X41" s="9"/>
      <c r="Y41" s="9"/>
      <c r="Z41" s="9"/>
    </row>
    <row r="42" spans="1:26" ht="25.5" customHeight="1" x14ac:dyDescent="0.25">
      <c r="A42" s="36">
        <v>165</v>
      </c>
      <c r="B42" s="3" t="s">
        <v>171</v>
      </c>
      <c r="C42" s="1"/>
      <c r="D42" s="1"/>
      <c r="E42" s="1"/>
      <c r="F42" s="1"/>
      <c r="G42" s="1"/>
      <c r="H42" s="1"/>
      <c r="I42" s="9"/>
      <c r="J42" s="9"/>
      <c r="K42" s="9"/>
      <c r="L42" s="9"/>
      <c r="M42" s="9"/>
      <c r="N42" s="9"/>
      <c r="O42" s="1"/>
      <c r="P42" s="1"/>
      <c r="Q42" s="1"/>
      <c r="R42" s="1"/>
      <c r="S42" s="1"/>
      <c r="T42" s="1"/>
      <c r="U42" s="9"/>
      <c r="V42" s="9"/>
      <c r="W42" s="9"/>
      <c r="X42" s="9"/>
      <c r="Y42" s="9"/>
      <c r="Z42" s="9"/>
    </row>
    <row r="43" spans="1:26" ht="25.5" customHeight="1" x14ac:dyDescent="0.25">
      <c r="A43" s="36">
        <v>166</v>
      </c>
      <c r="B43" s="3" t="s">
        <v>172</v>
      </c>
      <c r="C43" s="1"/>
      <c r="D43" s="1"/>
      <c r="E43" s="1"/>
      <c r="F43" s="1"/>
      <c r="G43" s="1"/>
      <c r="H43" s="1"/>
      <c r="I43" s="9"/>
      <c r="J43" s="9"/>
      <c r="K43" s="9"/>
      <c r="L43" s="9"/>
      <c r="M43" s="9"/>
      <c r="N43" s="9"/>
      <c r="O43" s="1"/>
      <c r="P43" s="1"/>
      <c r="Q43" s="1"/>
      <c r="R43" s="1"/>
      <c r="S43" s="1"/>
      <c r="T43" s="1"/>
      <c r="U43" s="9"/>
      <c r="V43" s="9"/>
      <c r="W43" s="9"/>
      <c r="X43" s="9"/>
      <c r="Y43" s="9"/>
      <c r="Z43" s="9"/>
    </row>
    <row r="44" spans="1:26" ht="25.5" customHeight="1" x14ac:dyDescent="0.25">
      <c r="A44" s="36">
        <v>168</v>
      </c>
      <c r="B44" s="3" t="s">
        <v>173</v>
      </c>
      <c r="C44" s="1"/>
      <c r="D44" s="1"/>
      <c r="E44" s="1"/>
      <c r="F44" s="1"/>
      <c r="G44" s="1"/>
      <c r="H44" s="1"/>
      <c r="I44" s="9"/>
      <c r="J44" s="9"/>
      <c r="K44" s="9"/>
      <c r="L44" s="9"/>
      <c r="M44" s="9"/>
      <c r="N44" s="9"/>
      <c r="O44" s="1"/>
      <c r="P44" s="1"/>
      <c r="Q44" s="1"/>
      <c r="R44" s="1"/>
      <c r="S44" s="1"/>
      <c r="T44" s="1"/>
      <c r="U44" s="9"/>
      <c r="V44" s="9"/>
      <c r="W44" s="9"/>
      <c r="X44" s="9"/>
      <c r="Y44" s="9"/>
      <c r="Z44" s="9"/>
    </row>
    <row r="45" spans="1:26" ht="25.5" customHeight="1" x14ac:dyDescent="0.25">
      <c r="A45" s="36">
        <v>169</v>
      </c>
      <c r="B45" s="3" t="s">
        <v>174</v>
      </c>
      <c r="C45" s="1"/>
      <c r="D45" s="1"/>
      <c r="E45" s="1"/>
      <c r="F45" s="1"/>
      <c r="G45" s="1"/>
      <c r="H45" s="1"/>
      <c r="I45" s="9"/>
      <c r="J45" s="9"/>
      <c r="K45" s="9"/>
      <c r="L45" s="9"/>
      <c r="M45" s="9"/>
      <c r="N45" s="9"/>
      <c r="O45" s="1"/>
      <c r="P45" s="1"/>
      <c r="Q45" s="1"/>
      <c r="R45" s="1"/>
      <c r="S45" s="1"/>
      <c r="T45" s="1"/>
      <c r="U45" s="9"/>
      <c r="V45" s="9"/>
      <c r="W45" s="9"/>
      <c r="X45" s="9"/>
      <c r="Y45" s="9"/>
      <c r="Z45" s="9"/>
    </row>
    <row r="46" spans="1:26" ht="25.5" customHeight="1" x14ac:dyDescent="0.25">
      <c r="A46" s="36">
        <v>170</v>
      </c>
      <c r="B46" s="3" t="s">
        <v>175</v>
      </c>
      <c r="C46" s="1"/>
      <c r="D46" s="1"/>
      <c r="E46" s="1"/>
      <c r="F46" s="1"/>
      <c r="G46" s="1"/>
      <c r="H46" s="1"/>
      <c r="I46" s="9"/>
      <c r="J46" s="9"/>
      <c r="K46" s="9"/>
      <c r="L46" s="9"/>
      <c r="M46" s="9"/>
      <c r="N46" s="9"/>
      <c r="O46" s="1"/>
      <c r="P46" s="1"/>
      <c r="Q46" s="1"/>
      <c r="R46" s="1"/>
      <c r="S46" s="1"/>
      <c r="T46" s="1"/>
      <c r="U46" s="9"/>
      <c r="V46" s="9"/>
      <c r="W46" s="9"/>
      <c r="X46" s="9"/>
      <c r="Y46" s="9"/>
      <c r="Z46" s="9"/>
    </row>
    <row r="47" spans="1:26" ht="25.5" customHeight="1" x14ac:dyDescent="0.25">
      <c r="A47" s="36">
        <v>171</v>
      </c>
      <c r="B47" s="3" t="s">
        <v>176</v>
      </c>
      <c r="C47" s="1"/>
      <c r="D47" s="1"/>
      <c r="E47" s="1"/>
      <c r="F47" s="1"/>
      <c r="G47" s="1"/>
      <c r="H47" s="1"/>
      <c r="I47" s="9"/>
      <c r="J47" s="9"/>
      <c r="K47" s="9"/>
      <c r="L47" s="9"/>
      <c r="M47" s="9"/>
      <c r="N47" s="9"/>
      <c r="O47" s="1"/>
      <c r="P47" s="1"/>
      <c r="Q47" s="1"/>
      <c r="R47" s="1"/>
      <c r="S47" s="1"/>
      <c r="T47" s="1"/>
      <c r="U47" s="9"/>
      <c r="V47" s="9"/>
      <c r="W47" s="9"/>
      <c r="X47" s="9"/>
      <c r="Y47" s="9"/>
      <c r="Z47" s="9"/>
    </row>
    <row r="48" spans="1:26" ht="25.5" customHeight="1" x14ac:dyDescent="0.25">
      <c r="A48" s="36">
        <v>172</v>
      </c>
      <c r="B48" s="3" t="s">
        <v>177</v>
      </c>
      <c r="C48" s="1"/>
      <c r="D48" s="1"/>
      <c r="E48" s="1"/>
      <c r="F48" s="1"/>
      <c r="G48" s="1"/>
      <c r="H48" s="1"/>
      <c r="I48" s="9"/>
      <c r="J48" s="9"/>
      <c r="K48" s="9"/>
      <c r="L48" s="9"/>
      <c r="M48" s="9"/>
      <c r="N48" s="9"/>
      <c r="O48" s="1"/>
      <c r="P48" s="1"/>
      <c r="Q48" s="1"/>
      <c r="R48" s="1"/>
      <c r="S48" s="1"/>
      <c r="T48" s="1"/>
      <c r="U48" s="9"/>
      <c r="V48" s="9"/>
      <c r="W48" s="9"/>
      <c r="X48" s="9"/>
      <c r="Y48" s="9"/>
      <c r="Z48" s="9"/>
    </row>
    <row r="49" spans="1:26" ht="25.5" customHeight="1" x14ac:dyDescent="0.25">
      <c r="A49" s="36">
        <v>173</v>
      </c>
      <c r="B49" s="3" t="s">
        <v>178</v>
      </c>
      <c r="C49" s="1"/>
      <c r="D49" s="1"/>
      <c r="E49" s="1"/>
      <c r="F49" s="1"/>
      <c r="G49" s="1"/>
      <c r="H49" s="1"/>
      <c r="I49" s="9"/>
      <c r="J49" s="9"/>
      <c r="K49" s="9"/>
      <c r="L49" s="9"/>
      <c r="M49" s="9"/>
      <c r="N49" s="9"/>
      <c r="O49" s="1"/>
      <c r="P49" s="1"/>
      <c r="Q49" s="1"/>
      <c r="R49" s="1"/>
      <c r="S49" s="1"/>
      <c r="T49" s="1"/>
      <c r="U49" s="9"/>
      <c r="V49" s="9"/>
      <c r="W49" s="9"/>
      <c r="X49" s="9"/>
      <c r="Y49" s="9"/>
      <c r="Z49" s="9"/>
    </row>
    <row r="50" spans="1:26" ht="25.5" customHeight="1" x14ac:dyDescent="0.25">
      <c r="A50" s="36">
        <v>174</v>
      </c>
      <c r="B50" s="3" t="s">
        <v>179</v>
      </c>
      <c r="C50" s="166">
        <v>45757</v>
      </c>
      <c r="D50" s="165">
        <v>131019</v>
      </c>
      <c r="E50" s="1"/>
      <c r="F50" s="1"/>
      <c r="G50" s="1"/>
      <c r="H50" s="1"/>
      <c r="I50" s="9"/>
      <c r="J50" s="9"/>
      <c r="K50" s="9"/>
      <c r="L50" s="9"/>
      <c r="M50" s="9"/>
      <c r="N50" s="9"/>
      <c r="O50" s="1"/>
      <c r="P50" s="1"/>
      <c r="Q50" s="165">
        <v>127396</v>
      </c>
      <c r="R50" s="166">
        <v>45702</v>
      </c>
      <c r="S50" s="1"/>
      <c r="T50" s="1"/>
      <c r="U50" s="9"/>
      <c r="V50" s="9"/>
      <c r="W50" s="9"/>
      <c r="X50" s="9"/>
      <c r="Y50" s="9"/>
      <c r="Z50" s="9"/>
    </row>
    <row r="51" spans="1:26" ht="25.5" customHeight="1" x14ac:dyDescent="0.25">
      <c r="A51" s="36">
        <v>175</v>
      </c>
      <c r="B51" s="3" t="s">
        <v>180</v>
      </c>
      <c r="C51" s="1"/>
      <c r="D51" s="1"/>
      <c r="E51" s="165">
        <v>143028</v>
      </c>
      <c r="F51" s="166">
        <v>45820</v>
      </c>
      <c r="G51" s="1"/>
      <c r="H51" s="1"/>
      <c r="I51" s="9"/>
      <c r="J51" s="9"/>
      <c r="K51" s="9"/>
      <c r="L51" s="9"/>
      <c r="M51" s="9"/>
      <c r="N51" s="9"/>
      <c r="O51" s="1"/>
      <c r="P51" s="1"/>
      <c r="Q51" s="1"/>
      <c r="R51" s="1"/>
      <c r="S51" s="1"/>
      <c r="T51" s="1"/>
      <c r="U51" s="9"/>
      <c r="V51" s="9"/>
      <c r="W51" s="9"/>
      <c r="X51" s="9"/>
      <c r="Y51" s="9"/>
      <c r="Z51" s="9"/>
    </row>
    <row r="52" spans="1:26" ht="25.5" customHeight="1" x14ac:dyDescent="0.25">
      <c r="A52" s="36">
        <v>177</v>
      </c>
      <c r="B52" s="3" t="s">
        <v>181</v>
      </c>
      <c r="C52" s="1"/>
      <c r="D52" s="1"/>
      <c r="E52" s="165">
        <v>77745</v>
      </c>
      <c r="F52" s="166">
        <v>45763</v>
      </c>
      <c r="G52" s="1"/>
      <c r="H52" s="1"/>
      <c r="I52" s="9"/>
      <c r="J52" s="9"/>
      <c r="K52" s="9"/>
      <c r="L52" s="9"/>
      <c r="M52" s="9"/>
      <c r="N52" s="9"/>
      <c r="O52" s="1"/>
      <c r="P52" s="1"/>
      <c r="Q52" s="165">
        <v>77745</v>
      </c>
      <c r="R52" s="166">
        <v>45763</v>
      </c>
      <c r="S52" s="1"/>
      <c r="T52" s="1"/>
      <c r="U52" s="9"/>
      <c r="V52" s="9"/>
      <c r="W52" s="9"/>
      <c r="X52" s="9"/>
      <c r="Y52" s="9"/>
      <c r="Z52" s="9"/>
    </row>
    <row r="53" spans="1:26" ht="25.5" customHeight="1" x14ac:dyDescent="0.25">
      <c r="A53" s="36">
        <v>178</v>
      </c>
      <c r="B53" s="3" t="s">
        <v>182</v>
      </c>
      <c r="C53" s="1"/>
      <c r="D53" s="1"/>
      <c r="E53" s="165">
        <v>85061</v>
      </c>
      <c r="F53" s="166">
        <v>45825</v>
      </c>
      <c r="G53" s="1"/>
      <c r="H53" s="1"/>
      <c r="I53" s="9"/>
      <c r="J53" s="9"/>
      <c r="K53" s="154">
        <v>85061</v>
      </c>
      <c r="L53" s="155">
        <v>45825</v>
      </c>
      <c r="M53" s="9"/>
      <c r="N53" s="9"/>
      <c r="O53" s="1"/>
      <c r="P53" s="1"/>
      <c r="Q53" s="1"/>
      <c r="R53" s="1"/>
      <c r="S53" s="1"/>
      <c r="T53" s="1"/>
      <c r="U53" s="9"/>
      <c r="V53" s="9"/>
      <c r="W53" s="9"/>
      <c r="X53" s="9"/>
      <c r="Y53" s="9"/>
      <c r="Z53" s="9"/>
    </row>
    <row r="54" spans="1:26" ht="25.5" customHeight="1" x14ac:dyDescent="0.25">
      <c r="A54" s="36">
        <v>179</v>
      </c>
      <c r="B54" s="3" t="s">
        <v>183</v>
      </c>
      <c r="C54" s="1"/>
      <c r="D54" s="1"/>
      <c r="E54" s="1" t="s">
        <v>392</v>
      </c>
      <c r="F54" s="166">
        <v>45790</v>
      </c>
      <c r="G54" s="1"/>
      <c r="H54" s="1"/>
      <c r="I54" s="9"/>
      <c r="J54" s="9"/>
      <c r="K54" s="9"/>
      <c r="L54" s="9"/>
      <c r="M54" s="9"/>
      <c r="N54" s="9"/>
      <c r="O54" s="1"/>
      <c r="P54" s="1"/>
      <c r="Q54" s="1"/>
      <c r="R54" s="1"/>
      <c r="S54" s="1"/>
      <c r="T54" s="1"/>
      <c r="U54" s="9"/>
      <c r="V54" s="9"/>
      <c r="W54" s="9"/>
      <c r="X54" s="9"/>
      <c r="Y54" s="9"/>
      <c r="Z54" s="9"/>
    </row>
    <row r="55" spans="1:26" ht="25.5" customHeight="1" x14ac:dyDescent="0.25">
      <c r="A55" s="36">
        <v>180</v>
      </c>
      <c r="B55" s="3" t="s">
        <v>184</v>
      </c>
      <c r="C55" s="1"/>
      <c r="D55" s="1"/>
      <c r="E55" s="1"/>
      <c r="F55" s="166"/>
      <c r="G55" s="1"/>
      <c r="H55" s="1"/>
      <c r="I55" s="9"/>
      <c r="J55" s="9"/>
      <c r="K55" s="154">
        <v>83832</v>
      </c>
      <c r="L55" s="155">
        <v>45806</v>
      </c>
      <c r="M55" s="9"/>
      <c r="N55" s="9"/>
      <c r="O55" s="1"/>
      <c r="P55" s="1"/>
      <c r="Q55" s="165">
        <v>83832</v>
      </c>
      <c r="R55" s="166">
        <v>45806</v>
      </c>
      <c r="S55" s="1"/>
      <c r="T55" s="1"/>
      <c r="U55" s="9"/>
      <c r="V55" s="9"/>
      <c r="W55" s="9"/>
      <c r="X55" s="9"/>
      <c r="Y55" s="9"/>
      <c r="Z55" s="9"/>
    </row>
    <row r="56" spans="1:26" ht="25.5" customHeight="1" x14ac:dyDescent="0.25">
      <c r="A56" s="36">
        <v>183</v>
      </c>
      <c r="B56" s="3" t="s">
        <v>185</v>
      </c>
      <c r="C56" s="1"/>
      <c r="D56" s="1"/>
      <c r="E56" s="1"/>
      <c r="F56" s="1"/>
      <c r="G56" s="1"/>
      <c r="H56" s="1"/>
      <c r="I56" s="9"/>
      <c r="J56" s="9"/>
      <c r="K56" s="9"/>
      <c r="L56" s="9"/>
      <c r="M56" s="9"/>
      <c r="N56" s="9"/>
      <c r="O56" s="1"/>
      <c r="P56" s="1"/>
      <c r="Q56" s="1"/>
      <c r="R56" s="1"/>
      <c r="S56" s="1"/>
      <c r="T56" s="1"/>
      <c r="U56" s="9"/>
      <c r="V56" s="9"/>
      <c r="W56" s="9"/>
      <c r="X56" s="9"/>
      <c r="Y56" s="9"/>
      <c r="Z56" s="9"/>
    </row>
    <row r="57" spans="1:26" ht="25.5" customHeight="1" x14ac:dyDescent="0.25">
      <c r="A57" s="36">
        <v>184</v>
      </c>
      <c r="B57" s="3" t="s">
        <v>186</v>
      </c>
      <c r="C57" s="1"/>
      <c r="D57" s="1"/>
      <c r="E57" s="1"/>
      <c r="F57" s="1"/>
      <c r="G57" s="1"/>
      <c r="H57" s="1"/>
      <c r="I57" s="9"/>
      <c r="J57" s="9"/>
      <c r="K57" s="9"/>
      <c r="L57" s="9"/>
      <c r="M57" s="9"/>
      <c r="N57" s="9"/>
      <c r="O57" s="1"/>
      <c r="P57" s="1"/>
      <c r="Q57" s="1"/>
      <c r="R57" s="1"/>
      <c r="S57" s="1"/>
      <c r="T57" s="1"/>
      <c r="U57" s="9"/>
      <c r="V57" s="9"/>
      <c r="W57" s="9"/>
      <c r="X57" s="9"/>
      <c r="Y57" s="9"/>
      <c r="Z57" s="9"/>
    </row>
    <row r="58" spans="1:26" ht="25.5" customHeight="1" x14ac:dyDescent="0.25">
      <c r="A58" s="36">
        <v>186</v>
      </c>
      <c r="B58" s="3" t="s">
        <v>187</v>
      </c>
      <c r="C58" s="1"/>
      <c r="D58" s="1"/>
      <c r="E58" s="165">
        <v>25001</v>
      </c>
      <c r="F58" s="166">
        <v>45758</v>
      </c>
      <c r="G58" s="1"/>
      <c r="H58" s="1"/>
      <c r="I58" s="9"/>
      <c r="J58" s="9"/>
      <c r="K58" s="9"/>
      <c r="L58" s="9"/>
      <c r="M58" s="9"/>
      <c r="N58" s="9"/>
      <c r="O58" s="1"/>
      <c r="P58" s="1"/>
      <c r="Q58" s="165">
        <v>25001</v>
      </c>
      <c r="R58" s="166">
        <v>45758</v>
      </c>
      <c r="S58" s="1"/>
      <c r="T58" s="1"/>
      <c r="U58" s="9"/>
      <c r="V58" s="9"/>
      <c r="W58" s="9"/>
      <c r="X58" s="9"/>
      <c r="Y58" s="9"/>
      <c r="Z58" s="9"/>
    </row>
    <row r="59" spans="1:26" ht="25.5" customHeight="1" x14ac:dyDescent="0.25">
      <c r="A59" s="36">
        <v>187</v>
      </c>
      <c r="B59" s="3" t="s">
        <v>188</v>
      </c>
      <c r="C59" s="1"/>
      <c r="D59" s="1"/>
      <c r="E59" s="1">
        <v>163691</v>
      </c>
      <c r="F59" s="166">
        <v>45807</v>
      </c>
      <c r="G59" s="1"/>
      <c r="H59" s="1"/>
      <c r="I59" s="9"/>
      <c r="J59" s="9"/>
      <c r="K59" s="9"/>
      <c r="L59" s="9"/>
      <c r="M59" s="9"/>
      <c r="N59" s="9"/>
      <c r="O59" s="1"/>
      <c r="P59" s="1"/>
      <c r="Q59" s="1"/>
      <c r="R59" s="1"/>
      <c r="S59" s="1"/>
      <c r="T59" s="1"/>
      <c r="U59" s="9"/>
      <c r="V59" s="9"/>
      <c r="W59" s="9"/>
      <c r="X59" s="9"/>
      <c r="Y59" s="9"/>
      <c r="Z59" s="9"/>
    </row>
    <row r="60" spans="1:26" ht="25.5" customHeight="1" x14ac:dyDescent="0.25">
      <c r="A60" s="39">
        <v>201</v>
      </c>
      <c r="B60" s="3" t="s">
        <v>189</v>
      </c>
      <c r="C60" s="1"/>
      <c r="D60" s="1"/>
      <c r="E60" s="1"/>
      <c r="F60" s="1"/>
      <c r="G60" s="1"/>
      <c r="H60" s="1"/>
      <c r="I60" s="9"/>
      <c r="J60" s="9"/>
      <c r="K60" s="9"/>
      <c r="L60" s="9"/>
      <c r="M60" s="9"/>
      <c r="N60" s="9"/>
      <c r="O60" s="1"/>
      <c r="P60" s="1"/>
      <c r="Q60" s="1"/>
      <c r="R60" s="1"/>
      <c r="S60" s="1"/>
      <c r="T60" s="1"/>
      <c r="U60" s="9"/>
      <c r="V60" s="9"/>
      <c r="W60" s="9"/>
      <c r="X60" s="9"/>
      <c r="Y60" s="9"/>
      <c r="Z60" s="9"/>
    </row>
    <row r="61" spans="1:26" ht="25.5" customHeight="1" x14ac:dyDescent="0.25">
      <c r="A61" s="39">
        <v>202</v>
      </c>
      <c r="B61" s="3" t="s">
        <v>190</v>
      </c>
      <c r="C61" s="166"/>
      <c r="D61" s="1"/>
      <c r="E61" s="1"/>
      <c r="F61" s="1"/>
      <c r="G61" s="166"/>
      <c r="H61" s="1"/>
      <c r="I61" s="9"/>
      <c r="J61" s="9"/>
      <c r="K61" s="9"/>
      <c r="L61" s="9"/>
      <c r="M61" s="9"/>
      <c r="N61" s="9"/>
      <c r="O61" s="1"/>
      <c r="P61" s="1"/>
      <c r="Q61" s="1"/>
      <c r="R61" s="1"/>
      <c r="S61" s="1"/>
      <c r="T61" s="1"/>
      <c r="U61" s="9"/>
      <c r="V61" s="9"/>
      <c r="W61" s="154">
        <v>250039</v>
      </c>
      <c r="X61" s="155">
        <v>45815</v>
      </c>
      <c r="Y61" s="9"/>
      <c r="Z61" s="9"/>
    </row>
    <row r="62" spans="1:26" ht="25.5" customHeight="1" x14ac:dyDescent="0.25">
      <c r="A62" s="39">
        <v>203</v>
      </c>
      <c r="B62" s="3" t="s">
        <v>191</v>
      </c>
      <c r="C62" s="1"/>
      <c r="D62" s="1"/>
      <c r="E62" s="1"/>
      <c r="F62" s="1"/>
      <c r="G62" s="1"/>
      <c r="H62" s="1"/>
      <c r="I62" s="9"/>
      <c r="J62" s="9"/>
      <c r="K62" s="9"/>
      <c r="L62" s="9"/>
      <c r="M62" s="9"/>
      <c r="N62" s="9"/>
      <c r="O62" s="1"/>
      <c r="P62" s="1"/>
      <c r="Q62" s="1"/>
      <c r="R62" s="1"/>
      <c r="S62" s="1"/>
      <c r="T62" s="1"/>
      <c r="U62" s="9"/>
      <c r="V62" s="9"/>
      <c r="W62" s="9"/>
      <c r="X62" s="9"/>
      <c r="Y62" s="9"/>
      <c r="Z62" s="9"/>
    </row>
    <row r="63" spans="1:26" ht="25.5" customHeight="1" x14ac:dyDescent="0.25">
      <c r="A63" s="39">
        <v>204</v>
      </c>
      <c r="B63" s="3" t="s">
        <v>192</v>
      </c>
      <c r="C63" s="1"/>
      <c r="D63" s="1"/>
      <c r="E63" s="1"/>
      <c r="F63" s="1"/>
      <c r="G63" s="1"/>
      <c r="H63" s="1"/>
      <c r="I63" s="9"/>
      <c r="J63" s="9"/>
      <c r="K63" s="9"/>
      <c r="L63" s="9"/>
      <c r="M63" s="9"/>
      <c r="N63" s="9"/>
      <c r="O63" s="1"/>
      <c r="P63" s="1"/>
      <c r="Q63" s="1"/>
      <c r="R63" s="1"/>
      <c r="S63" s="1"/>
      <c r="T63" s="1"/>
      <c r="U63" s="9"/>
      <c r="V63" s="9"/>
      <c r="W63" s="9"/>
      <c r="X63" s="9"/>
      <c r="Y63" s="9"/>
      <c r="Z63" s="9"/>
    </row>
    <row r="64" spans="1:26" ht="25.5" customHeight="1" x14ac:dyDescent="0.25">
      <c r="A64" s="39">
        <v>205</v>
      </c>
      <c r="B64" s="3" t="s">
        <v>193</v>
      </c>
      <c r="C64" s="1"/>
      <c r="D64" s="1"/>
      <c r="E64" s="1"/>
      <c r="F64" s="1"/>
      <c r="G64" s="1"/>
      <c r="H64" s="1"/>
      <c r="I64" s="9"/>
      <c r="J64" s="9"/>
      <c r="K64" s="9"/>
      <c r="L64" s="9"/>
      <c r="M64" s="9"/>
      <c r="N64" s="9"/>
      <c r="O64" s="1"/>
      <c r="P64" s="1"/>
      <c r="Q64" s="1"/>
      <c r="R64" s="1"/>
      <c r="S64" s="1"/>
      <c r="T64" s="1"/>
      <c r="U64" s="9"/>
      <c r="V64" s="9"/>
      <c r="W64" s="9"/>
      <c r="X64" s="9"/>
      <c r="Y64" s="9"/>
      <c r="Z64" s="9"/>
    </row>
    <row r="65" spans="1:26" ht="25.5" customHeight="1" x14ac:dyDescent="0.25">
      <c r="A65" s="39">
        <v>206</v>
      </c>
      <c r="B65" s="3" t="s">
        <v>194</v>
      </c>
      <c r="C65" s="1"/>
      <c r="D65" s="1"/>
      <c r="E65" s="1"/>
      <c r="F65" s="1"/>
      <c r="G65" s="1"/>
      <c r="H65" s="1"/>
      <c r="I65" s="9"/>
      <c r="J65" s="9"/>
      <c r="K65" s="9"/>
      <c r="L65" s="9"/>
      <c r="M65" s="9"/>
      <c r="N65" s="9"/>
      <c r="O65" s="1"/>
      <c r="P65" s="1"/>
      <c r="Q65" s="1"/>
      <c r="R65" s="1"/>
      <c r="S65" s="1"/>
      <c r="T65" s="1"/>
      <c r="U65" s="9"/>
      <c r="V65" s="9"/>
      <c r="W65" s="9"/>
      <c r="X65" s="9"/>
      <c r="Y65" s="9"/>
      <c r="Z65" s="9"/>
    </row>
    <row r="66" spans="1:26" ht="25.5" customHeight="1" x14ac:dyDescent="0.25">
      <c r="A66" s="39">
        <v>207</v>
      </c>
      <c r="B66" s="3" t="s">
        <v>195</v>
      </c>
      <c r="C66" s="1"/>
      <c r="D66" s="1"/>
      <c r="E66" s="1"/>
      <c r="F66" s="1"/>
      <c r="G66" s="1"/>
      <c r="H66" s="1"/>
      <c r="I66" s="9"/>
      <c r="J66" s="9"/>
      <c r="K66" s="9"/>
      <c r="L66" s="9"/>
      <c r="M66" s="9"/>
      <c r="N66" s="9"/>
      <c r="O66" s="1"/>
      <c r="P66" s="1"/>
      <c r="Q66" s="1"/>
      <c r="R66" s="1"/>
      <c r="S66" s="1"/>
      <c r="T66" s="1"/>
      <c r="U66" s="9"/>
      <c r="V66" s="9"/>
      <c r="W66" s="9"/>
      <c r="X66" s="9"/>
      <c r="Y66" s="9"/>
      <c r="Z66" s="9"/>
    </row>
    <row r="67" spans="1:26" ht="25.5" customHeight="1" x14ac:dyDescent="0.25">
      <c r="A67" s="39">
        <v>208</v>
      </c>
      <c r="B67" s="3" t="s">
        <v>196</v>
      </c>
      <c r="C67" s="1"/>
      <c r="D67" s="1"/>
      <c r="E67" s="1"/>
      <c r="F67" s="1"/>
      <c r="G67" s="1"/>
      <c r="H67" s="1"/>
      <c r="I67" s="9"/>
      <c r="J67" s="9"/>
      <c r="K67" s="9"/>
      <c r="L67" s="9"/>
      <c r="M67" s="9"/>
      <c r="N67" s="9"/>
      <c r="O67" s="1"/>
      <c r="P67" s="1"/>
      <c r="Q67" s="1"/>
      <c r="R67" s="1"/>
      <c r="S67" s="1"/>
      <c r="T67" s="1"/>
      <c r="U67" s="9"/>
      <c r="V67" s="9"/>
      <c r="W67" s="9"/>
      <c r="X67" s="9"/>
      <c r="Y67" s="9"/>
      <c r="Z67" s="9"/>
    </row>
    <row r="68" spans="1:26" ht="25.5" customHeight="1" x14ac:dyDescent="0.25">
      <c r="A68" s="39">
        <v>209</v>
      </c>
      <c r="B68" s="3" t="s">
        <v>197</v>
      </c>
      <c r="C68" s="1"/>
      <c r="D68" s="1"/>
      <c r="E68" s="1"/>
      <c r="F68" s="1"/>
      <c r="G68" s="1"/>
      <c r="H68" s="1"/>
      <c r="I68" s="9"/>
      <c r="J68" s="9"/>
      <c r="K68" s="9"/>
      <c r="L68" s="9"/>
      <c r="M68" s="9"/>
      <c r="N68" s="9"/>
      <c r="O68" s="1"/>
      <c r="P68" s="1"/>
      <c r="Q68" s="1"/>
      <c r="R68" s="1"/>
      <c r="S68" s="1"/>
      <c r="T68" s="1"/>
      <c r="U68" s="9"/>
      <c r="V68" s="9"/>
      <c r="W68" s="9"/>
      <c r="X68" s="9"/>
      <c r="Y68" s="9"/>
      <c r="Z68" s="9"/>
    </row>
    <row r="69" spans="1:26" ht="25.5" customHeight="1" x14ac:dyDescent="0.25">
      <c r="A69" s="39">
        <v>210</v>
      </c>
      <c r="B69" s="3" t="s">
        <v>198</v>
      </c>
      <c r="C69" s="1"/>
      <c r="D69" s="1"/>
      <c r="E69" s="1"/>
      <c r="F69" s="1"/>
      <c r="G69" s="1"/>
      <c r="H69" s="1"/>
      <c r="I69" s="9"/>
      <c r="J69" s="9"/>
      <c r="K69" s="9"/>
      <c r="L69" s="9"/>
      <c r="M69" s="9"/>
      <c r="N69" s="9"/>
      <c r="O69" s="1"/>
      <c r="P69" s="1"/>
      <c r="Q69" s="1"/>
      <c r="R69" s="1"/>
      <c r="S69" s="1"/>
      <c r="T69" s="1"/>
      <c r="U69" s="9"/>
      <c r="V69" s="9"/>
      <c r="W69" s="9"/>
      <c r="X69" s="9"/>
      <c r="Y69" s="9"/>
      <c r="Z69" s="9"/>
    </row>
    <row r="70" spans="1:26" ht="25.5" customHeight="1" x14ac:dyDescent="0.25">
      <c r="A70" s="39">
        <v>211</v>
      </c>
      <c r="B70" s="3" t="s">
        <v>199</v>
      </c>
      <c r="C70" s="1"/>
      <c r="D70" s="1"/>
      <c r="E70" s="1"/>
      <c r="F70" s="1"/>
      <c r="G70" s="1"/>
      <c r="H70" s="1"/>
      <c r="I70" s="9"/>
      <c r="J70" s="9"/>
      <c r="K70" s="9"/>
      <c r="L70" s="9"/>
      <c r="M70" s="9"/>
      <c r="N70" s="9"/>
      <c r="O70" s="1"/>
      <c r="P70" s="1"/>
      <c r="Q70" s="1"/>
      <c r="R70" s="1"/>
      <c r="S70" s="1"/>
      <c r="T70" s="1"/>
      <c r="U70" s="9"/>
      <c r="V70" s="9"/>
      <c r="W70" s="9"/>
      <c r="X70" s="9"/>
      <c r="Y70" s="9"/>
      <c r="Z70" s="9"/>
    </row>
    <row r="71" spans="1:26" ht="25.5" customHeight="1" x14ac:dyDescent="0.25">
      <c r="A71" s="39">
        <v>212</v>
      </c>
      <c r="B71" s="3" t="s">
        <v>200</v>
      </c>
      <c r="C71" s="1"/>
      <c r="D71" s="1"/>
      <c r="E71" s="1"/>
      <c r="F71" s="1"/>
      <c r="G71" s="1"/>
      <c r="H71" s="1"/>
      <c r="I71" s="9"/>
      <c r="J71" s="9"/>
      <c r="K71" s="9"/>
      <c r="L71" s="9"/>
      <c r="M71" s="9"/>
      <c r="N71" s="9"/>
      <c r="O71" s="1"/>
      <c r="P71" s="1"/>
      <c r="Q71" s="1"/>
      <c r="R71" s="1"/>
      <c r="S71" s="1"/>
      <c r="T71" s="1"/>
      <c r="U71" s="9"/>
      <c r="V71" s="9"/>
      <c r="W71" s="9"/>
      <c r="X71" s="9"/>
      <c r="Y71" s="9"/>
      <c r="Z71" s="9"/>
    </row>
    <row r="72" spans="1:26" ht="25.5" customHeight="1" x14ac:dyDescent="0.25">
      <c r="A72" s="39">
        <v>214</v>
      </c>
      <c r="B72" s="3" t="s">
        <v>201</v>
      </c>
      <c r="C72" s="1"/>
      <c r="D72" s="1"/>
      <c r="E72" s="1"/>
      <c r="F72" s="1"/>
      <c r="G72" s="1"/>
      <c r="H72" s="1"/>
      <c r="I72" s="9"/>
      <c r="J72" s="9"/>
      <c r="K72" s="9"/>
      <c r="L72" s="9"/>
      <c r="M72" s="9"/>
      <c r="N72" s="9"/>
      <c r="O72" s="1"/>
      <c r="P72" s="1"/>
      <c r="Q72" s="1"/>
      <c r="R72" s="1"/>
      <c r="S72" s="1"/>
      <c r="T72" s="1"/>
      <c r="U72" s="9"/>
      <c r="V72" s="9"/>
      <c r="W72" s="9"/>
      <c r="X72" s="9"/>
      <c r="Y72" s="9"/>
      <c r="Z72" s="9"/>
    </row>
    <row r="73" spans="1:26" ht="25.5" customHeight="1" x14ac:dyDescent="0.25">
      <c r="A73" s="39">
        <v>215</v>
      </c>
      <c r="B73" s="3" t="s">
        <v>202</v>
      </c>
      <c r="C73" s="1"/>
      <c r="D73" s="1"/>
      <c r="E73" s="1"/>
      <c r="F73" s="1"/>
      <c r="G73" s="1"/>
      <c r="H73" s="1"/>
      <c r="I73" s="9"/>
      <c r="J73" s="9"/>
      <c r="K73" s="9"/>
      <c r="L73" s="9"/>
      <c r="M73" s="9"/>
      <c r="N73" s="9"/>
      <c r="O73" s="1"/>
      <c r="P73" s="1"/>
      <c r="Q73" s="1"/>
      <c r="R73" s="1"/>
      <c r="S73" s="1"/>
      <c r="T73" s="1"/>
      <c r="U73" s="9"/>
      <c r="V73" s="9"/>
      <c r="W73" s="9"/>
      <c r="X73" s="9"/>
      <c r="Y73" s="9"/>
      <c r="Z73" s="9"/>
    </row>
    <row r="74" spans="1:26" ht="25.5" customHeight="1" x14ac:dyDescent="0.25">
      <c r="A74" s="36">
        <v>221</v>
      </c>
      <c r="B74" s="3" t="s">
        <v>203</v>
      </c>
      <c r="C74" s="1"/>
      <c r="D74" s="1"/>
      <c r="E74" s="1"/>
      <c r="F74" s="1"/>
      <c r="G74" s="1"/>
      <c r="H74" s="1"/>
      <c r="I74" s="9"/>
      <c r="J74" s="9"/>
      <c r="K74" s="9"/>
      <c r="L74" s="9"/>
      <c r="M74" s="9"/>
      <c r="N74" s="9"/>
      <c r="O74" s="1"/>
      <c r="P74" s="1"/>
      <c r="Q74" s="1"/>
      <c r="R74" s="1"/>
      <c r="S74" s="1"/>
      <c r="T74" s="1"/>
      <c r="U74" s="9"/>
      <c r="V74" s="9"/>
      <c r="W74" s="9"/>
      <c r="X74" s="9"/>
      <c r="Y74" s="9"/>
      <c r="Z74" s="9"/>
    </row>
    <row r="75" spans="1:26" ht="25.5" customHeight="1" x14ac:dyDescent="0.25">
      <c r="A75" s="36">
        <v>222</v>
      </c>
      <c r="B75" s="3" t="s">
        <v>204</v>
      </c>
      <c r="C75" s="1"/>
      <c r="D75" s="1"/>
      <c r="E75" s="1"/>
      <c r="F75" s="1"/>
      <c r="G75" s="1"/>
      <c r="H75" s="1"/>
      <c r="I75" s="9"/>
      <c r="J75" s="9"/>
      <c r="K75" s="9"/>
      <c r="L75" s="9"/>
      <c r="M75" s="9"/>
      <c r="N75" s="9"/>
      <c r="O75" s="1"/>
      <c r="P75" s="1"/>
      <c r="Q75" s="1"/>
      <c r="R75" s="1"/>
      <c r="S75" s="1"/>
      <c r="T75" s="1"/>
      <c r="U75" s="9"/>
      <c r="V75" s="9"/>
      <c r="W75" s="9"/>
      <c r="X75" s="9"/>
      <c r="Y75" s="9"/>
      <c r="Z75" s="9"/>
    </row>
    <row r="76" spans="1:26" ht="25.5" customHeight="1" x14ac:dyDescent="0.25">
      <c r="A76" s="36">
        <v>223</v>
      </c>
      <c r="B76" s="3" t="s">
        <v>205</v>
      </c>
      <c r="C76" s="1"/>
      <c r="D76" s="1"/>
      <c r="E76" s="1"/>
      <c r="F76" s="1"/>
      <c r="G76" s="1"/>
      <c r="H76" s="1"/>
      <c r="I76" s="9"/>
      <c r="J76" s="9"/>
      <c r="K76" s="9"/>
      <c r="L76" s="9"/>
      <c r="M76" s="9"/>
      <c r="N76" s="9"/>
      <c r="O76" s="1"/>
      <c r="P76" s="1"/>
      <c r="Q76" s="1"/>
      <c r="R76" s="1"/>
      <c r="S76" s="1"/>
      <c r="T76" s="1"/>
      <c r="U76" s="9"/>
      <c r="V76" s="9"/>
      <c r="W76" s="9"/>
      <c r="X76" s="9"/>
      <c r="Y76" s="9"/>
      <c r="Z76" s="9"/>
    </row>
    <row r="77" spans="1:26" ht="25.5" customHeight="1" x14ac:dyDescent="0.25">
      <c r="A77" s="36">
        <v>224</v>
      </c>
      <c r="B77" s="3" t="s">
        <v>206</v>
      </c>
      <c r="C77" s="1"/>
      <c r="D77" s="1"/>
      <c r="E77" s="1"/>
      <c r="F77" s="1"/>
      <c r="G77" s="1"/>
      <c r="H77" s="1"/>
      <c r="I77" s="9"/>
      <c r="J77" s="9"/>
      <c r="K77" s="9"/>
      <c r="L77" s="9"/>
      <c r="M77" s="9"/>
      <c r="N77" s="9"/>
      <c r="O77" s="1"/>
      <c r="P77" s="1"/>
      <c r="Q77" s="1"/>
      <c r="R77" s="1"/>
      <c r="S77" s="1"/>
      <c r="T77" s="1"/>
      <c r="U77" s="9"/>
      <c r="V77" s="9"/>
      <c r="W77" s="9"/>
      <c r="X77" s="9"/>
      <c r="Y77" s="9"/>
      <c r="Z77" s="9"/>
    </row>
    <row r="78" spans="1:26" ht="25.5" customHeight="1" x14ac:dyDescent="0.25">
      <c r="A78" s="36">
        <v>225</v>
      </c>
      <c r="B78" s="3" t="s">
        <v>207</v>
      </c>
      <c r="C78" s="1"/>
      <c r="D78" s="1"/>
      <c r="E78" s="1"/>
      <c r="F78" s="1"/>
      <c r="G78" s="1"/>
      <c r="H78" s="1"/>
      <c r="I78" s="9"/>
      <c r="J78" s="9"/>
      <c r="K78" s="9"/>
      <c r="L78" s="9"/>
      <c r="M78" s="9"/>
      <c r="N78" s="9"/>
      <c r="O78" s="1"/>
      <c r="P78" s="1"/>
      <c r="Q78" s="1"/>
      <c r="R78" s="1"/>
      <c r="S78" s="1"/>
      <c r="T78" s="1"/>
      <c r="U78" s="9"/>
      <c r="V78" s="9"/>
      <c r="W78" s="9"/>
      <c r="X78" s="9"/>
      <c r="Y78" s="9"/>
      <c r="Z78" s="9"/>
    </row>
    <row r="79" spans="1:26" ht="25.5" customHeight="1" x14ac:dyDescent="0.25">
      <c r="A79" s="36">
        <v>229</v>
      </c>
      <c r="B79" s="3" t="s">
        <v>208</v>
      </c>
      <c r="C79" s="1"/>
      <c r="D79" s="1"/>
      <c r="E79" s="1"/>
      <c r="F79" s="1"/>
      <c r="G79" s="1"/>
      <c r="H79" s="1"/>
      <c r="I79" s="9"/>
      <c r="J79" s="9"/>
      <c r="K79" s="9"/>
      <c r="L79" s="9"/>
      <c r="M79" s="9"/>
      <c r="N79" s="9"/>
      <c r="O79" s="1"/>
      <c r="P79" s="1"/>
      <c r="Q79" s="1"/>
      <c r="R79" s="1"/>
      <c r="S79" s="1"/>
      <c r="T79" s="1"/>
      <c r="U79" s="9"/>
      <c r="V79" s="9"/>
      <c r="W79" s="9"/>
      <c r="X79" s="9"/>
      <c r="Y79" s="9"/>
      <c r="Z79" s="9"/>
    </row>
    <row r="80" spans="1:26" ht="25.5" customHeight="1" x14ac:dyDescent="0.25">
      <c r="A80" s="36">
        <v>230</v>
      </c>
      <c r="B80" s="3" t="s">
        <v>209</v>
      </c>
      <c r="C80" s="166">
        <v>45722</v>
      </c>
      <c r="D80" s="165">
        <v>91720</v>
      </c>
      <c r="E80" s="165">
        <v>91720</v>
      </c>
      <c r="F80" s="166">
        <v>45722</v>
      </c>
      <c r="G80" s="1"/>
      <c r="H80" s="1"/>
      <c r="I80" s="9"/>
      <c r="J80" s="9"/>
      <c r="K80" s="9"/>
      <c r="L80" s="9"/>
      <c r="M80" s="9"/>
      <c r="N80" s="9"/>
      <c r="O80" s="1"/>
      <c r="P80" s="1"/>
      <c r="Q80" s="1"/>
      <c r="R80" s="1"/>
      <c r="S80" s="1"/>
      <c r="T80" s="1"/>
      <c r="U80" s="9"/>
      <c r="V80" s="9"/>
      <c r="W80" s="9"/>
      <c r="X80" s="9"/>
      <c r="Y80" s="9"/>
      <c r="Z80" s="9"/>
    </row>
    <row r="81" spans="1:26" ht="25.5" customHeight="1" x14ac:dyDescent="0.25">
      <c r="A81" s="36">
        <v>231</v>
      </c>
      <c r="B81" s="3" t="s">
        <v>210</v>
      </c>
      <c r="C81" s="1"/>
      <c r="D81" s="1"/>
      <c r="E81" s="1"/>
      <c r="F81" s="1"/>
      <c r="G81" s="1"/>
      <c r="H81" s="1"/>
      <c r="I81" s="9"/>
      <c r="J81" s="9"/>
      <c r="K81" s="9"/>
      <c r="L81" s="9"/>
      <c r="M81" s="9"/>
      <c r="N81" s="9"/>
      <c r="O81" s="1"/>
      <c r="P81" s="1"/>
      <c r="Q81" s="1"/>
      <c r="R81" s="1"/>
      <c r="S81" s="1"/>
      <c r="T81" s="1"/>
      <c r="U81" s="9"/>
      <c r="V81" s="9"/>
      <c r="W81" s="9"/>
      <c r="X81" s="9"/>
      <c r="Y81" s="9"/>
      <c r="Z81" s="9"/>
    </row>
    <row r="82" spans="1:26" ht="25.5" customHeight="1" x14ac:dyDescent="0.25">
      <c r="A82" s="36">
        <v>232</v>
      </c>
      <c r="B82" s="3" t="s">
        <v>211</v>
      </c>
      <c r="C82" s="1"/>
      <c r="D82" s="1"/>
      <c r="E82" s="1"/>
      <c r="F82" s="1"/>
      <c r="G82" s="1"/>
      <c r="H82" s="1"/>
      <c r="I82" s="9"/>
      <c r="J82" s="9"/>
      <c r="K82" s="9"/>
      <c r="L82" s="9"/>
      <c r="M82" s="9"/>
      <c r="N82" s="9"/>
      <c r="O82" s="1"/>
      <c r="P82" s="1"/>
      <c r="Q82" s="1"/>
      <c r="R82" s="1"/>
      <c r="S82" s="1"/>
      <c r="T82" s="1"/>
      <c r="U82" s="9"/>
      <c r="V82" s="9"/>
      <c r="W82" s="9"/>
      <c r="X82" s="9"/>
      <c r="Y82" s="9"/>
      <c r="Z82" s="9"/>
    </row>
    <row r="83" spans="1:26" ht="25.5" customHeight="1" x14ac:dyDescent="0.25">
      <c r="A83" s="36">
        <v>233</v>
      </c>
      <c r="B83" s="3" t="s">
        <v>212</v>
      </c>
      <c r="C83" s="1"/>
      <c r="D83" s="1"/>
      <c r="E83" s="1"/>
      <c r="F83" s="1"/>
      <c r="G83" s="1"/>
      <c r="H83" s="1"/>
      <c r="I83" s="9"/>
      <c r="J83" s="9"/>
      <c r="K83" s="9"/>
      <c r="L83" s="9"/>
      <c r="M83" s="9"/>
      <c r="N83" s="9"/>
      <c r="O83" s="1"/>
      <c r="P83" s="1"/>
      <c r="Q83" s="1"/>
      <c r="R83" s="1"/>
      <c r="S83" s="1"/>
      <c r="T83" s="1"/>
      <c r="U83" s="9"/>
      <c r="V83" s="9"/>
      <c r="W83" s="9"/>
      <c r="X83" s="9"/>
      <c r="Y83" s="9"/>
      <c r="Z83" s="9"/>
    </row>
    <row r="84" spans="1:26" ht="25.5" customHeight="1" x14ac:dyDescent="0.25">
      <c r="A84" s="36">
        <v>234</v>
      </c>
      <c r="B84" s="3" t="s">
        <v>213</v>
      </c>
      <c r="C84" s="1"/>
      <c r="D84" s="1"/>
      <c r="E84" s="1"/>
      <c r="F84" s="1"/>
      <c r="G84" s="1"/>
      <c r="H84" s="1"/>
      <c r="I84" s="9"/>
      <c r="J84" s="9"/>
      <c r="K84" s="9"/>
      <c r="L84" s="9"/>
      <c r="M84" s="9"/>
      <c r="N84" s="9"/>
      <c r="O84" s="1"/>
      <c r="P84" s="1"/>
      <c r="Q84" s="1"/>
      <c r="R84" s="1"/>
      <c r="S84" s="1"/>
      <c r="T84" s="1"/>
      <c r="U84" s="9"/>
      <c r="V84" s="9"/>
      <c r="W84" s="9"/>
      <c r="X84" s="9"/>
      <c r="Y84" s="9"/>
      <c r="Z84" s="9"/>
    </row>
    <row r="85" spans="1:26" ht="25.5" customHeight="1" x14ac:dyDescent="0.25">
      <c r="A85" s="36">
        <v>241</v>
      </c>
      <c r="B85" s="3" t="s">
        <v>214</v>
      </c>
      <c r="C85" s="1"/>
      <c r="D85" s="1"/>
      <c r="E85" s="1"/>
      <c r="F85" s="1"/>
      <c r="G85" s="1"/>
      <c r="H85" s="1"/>
      <c r="I85" s="9"/>
      <c r="J85" s="9"/>
      <c r="K85" s="9"/>
      <c r="L85" s="9"/>
      <c r="M85" s="9"/>
      <c r="N85" s="9"/>
      <c r="O85" s="1"/>
      <c r="P85" s="1"/>
      <c r="Q85" s="1"/>
      <c r="R85" s="1"/>
      <c r="S85" s="1"/>
      <c r="T85" s="1"/>
      <c r="U85" s="9"/>
      <c r="V85" s="9"/>
      <c r="W85" s="9"/>
      <c r="X85" s="9"/>
      <c r="Y85" s="9"/>
      <c r="Z85" s="9"/>
    </row>
    <row r="86" spans="1:26" ht="25.5" customHeight="1" x14ac:dyDescent="0.25">
      <c r="A86" s="36">
        <v>242</v>
      </c>
      <c r="B86" s="3" t="s">
        <v>215</v>
      </c>
      <c r="C86" s="1"/>
      <c r="D86" s="1"/>
      <c r="E86" s="1"/>
      <c r="F86" s="1"/>
      <c r="G86" s="1"/>
      <c r="H86" s="1"/>
      <c r="I86" s="9"/>
      <c r="J86" s="9"/>
      <c r="K86" s="9"/>
      <c r="L86" s="9"/>
      <c r="M86" s="9"/>
      <c r="N86" s="9"/>
      <c r="O86" s="1"/>
      <c r="P86" s="1"/>
      <c r="Q86" s="1"/>
      <c r="R86" s="1"/>
      <c r="S86" s="1"/>
      <c r="T86" s="1"/>
      <c r="U86" s="9"/>
      <c r="V86" s="9"/>
      <c r="W86" s="9"/>
      <c r="X86" s="9"/>
      <c r="Y86" s="9"/>
      <c r="Z86" s="9"/>
    </row>
    <row r="87" spans="1:26" ht="25.5" customHeight="1" x14ac:dyDescent="0.25">
      <c r="A87" s="36">
        <v>243</v>
      </c>
      <c r="B87" s="3" t="s">
        <v>216</v>
      </c>
      <c r="C87" s="1"/>
      <c r="D87" s="1"/>
      <c r="E87" s="1"/>
      <c r="F87" s="1"/>
      <c r="G87" s="1"/>
      <c r="H87" s="1"/>
      <c r="I87" s="9"/>
      <c r="J87" s="9"/>
      <c r="K87" s="9"/>
      <c r="L87" s="9"/>
      <c r="M87" s="9"/>
      <c r="N87" s="9"/>
      <c r="O87" s="1"/>
      <c r="P87" s="1"/>
      <c r="Q87" s="1"/>
      <c r="R87" s="1"/>
      <c r="S87" s="1"/>
      <c r="T87" s="1"/>
      <c r="U87" s="9"/>
      <c r="V87" s="9"/>
      <c r="W87" s="9"/>
      <c r="X87" s="9"/>
      <c r="Y87" s="9"/>
      <c r="Z87" s="9"/>
    </row>
    <row r="88" spans="1:26" ht="25.5" customHeight="1" x14ac:dyDescent="0.25">
      <c r="A88" s="36">
        <v>244</v>
      </c>
      <c r="B88" s="3" t="s">
        <v>217</v>
      </c>
      <c r="C88" s="1"/>
      <c r="D88" s="1"/>
      <c r="E88" s="1"/>
      <c r="F88" s="1"/>
      <c r="G88" s="1"/>
      <c r="H88" s="1"/>
      <c r="I88" s="9"/>
      <c r="J88" s="9"/>
      <c r="K88" s="9"/>
      <c r="L88" s="9"/>
      <c r="M88" s="9"/>
      <c r="N88" s="9"/>
      <c r="O88" s="1"/>
      <c r="P88" s="1"/>
      <c r="Q88" s="1"/>
      <c r="R88" s="1"/>
      <c r="S88" s="1"/>
      <c r="T88" s="1"/>
      <c r="U88" s="9"/>
      <c r="V88" s="9"/>
      <c r="W88" s="9"/>
      <c r="X88" s="9"/>
      <c r="Y88" s="9"/>
      <c r="Z88" s="9"/>
    </row>
    <row r="89" spans="1:26" ht="25.5" customHeight="1" x14ac:dyDescent="0.25">
      <c r="A89" s="36">
        <v>245</v>
      </c>
      <c r="B89" s="3" t="s">
        <v>218</v>
      </c>
      <c r="C89" s="1"/>
      <c r="D89" s="1"/>
      <c r="E89" s="1"/>
      <c r="F89" s="1"/>
      <c r="G89" s="1"/>
      <c r="H89" s="1"/>
      <c r="I89" s="9"/>
      <c r="J89" s="9"/>
      <c r="K89" s="9"/>
      <c r="L89" s="9"/>
      <c r="M89" s="9"/>
      <c r="N89" s="9"/>
      <c r="O89" s="1"/>
      <c r="P89" s="1"/>
      <c r="Q89" s="1"/>
      <c r="R89" s="1"/>
      <c r="S89" s="1"/>
      <c r="T89" s="1"/>
      <c r="U89" s="9"/>
      <c r="V89" s="9"/>
      <c r="W89" s="9"/>
      <c r="X89" s="9"/>
      <c r="Y89" s="9"/>
      <c r="Z89" s="9"/>
    </row>
    <row r="90" spans="1:26" ht="25.5" customHeight="1" x14ac:dyDescent="0.25">
      <c r="A90" s="36">
        <v>246</v>
      </c>
      <c r="B90" s="3" t="s">
        <v>219</v>
      </c>
      <c r="C90" s="1"/>
      <c r="D90" s="1"/>
      <c r="E90" s="1"/>
      <c r="F90" s="1"/>
      <c r="G90" s="1"/>
      <c r="H90" s="1"/>
      <c r="I90" s="9"/>
      <c r="J90" s="9"/>
      <c r="K90" s="9"/>
      <c r="L90" s="9"/>
      <c r="M90" s="9"/>
      <c r="N90" s="9"/>
      <c r="O90" s="1"/>
      <c r="P90" s="1"/>
      <c r="Q90" s="1"/>
      <c r="R90" s="1"/>
      <c r="S90" s="1"/>
      <c r="T90" s="1"/>
      <c r="U90" s="9"/>
      <c r="V90" s="9"/>
      <c r="W90" s="9"/>
      <c r="X90" s="9"/>
      <c r="Y90" s="9"/>
      <c r="Z90" s="9"/>
    </row>
    <row r="91" spans="1:26" ht="25.5" customHeight="1" x14ac:dyDescent="0.25">
      <c r="A91" s="36">
        <v>248</v>
      </c>
      <c r="B91" s="3" t="s">
        <v>220</v>
      </c>
      <c r="C91" s="1"/>
      <c r="D91" s="1"/>
      <c r="E91" s="1"/>
      <c r="F91" s="1"/>
      <c r="G91" s="1"/>
      <c r="H91" s="1"/>
      <c r="I91" s="9"/>
      <c r="J91" s="9"/>
      <c r="K91" s="9"/>
      <c r="L91" s="9"/>
      <c r="M91" s="9"/>
      <c r="N91" s="9"/>
      <c r="O91" s="1"/>
      <c r="P91" s="1"/>
      <c r="Q91" s="1"/>
      <c r="R91" s="1"/>
      <c r="S91" s="1"/>
      <c r="T91" s="1"/>
      <c r="U91" s="9"/>
      <c r="V91" s="9"/>
      <c r="W91" s="9"/>
      <c r="X91" s="9"/>
      <c r="Y91" s="9"/>
      <c r="Z91" s="9"/>
    </row>
    <row r="92" spans="1:26" ht="25.5" customHeight="1" x14ac:dyDescent="0.25">
      <c r="A92" s="36">
        <v>260</v>
      </c>
      <c r="B92" s="3" t="s">
        <v>221</v>
      </c>
      <c r="C92" s="1"/>
      <c r="D92" s="1"/>
      <c r="E92" s="1"/>
      <c r="F92" s="1"/>
      <c r="G92" s="1"/>
      <c r="H92" s="1"/>
      <c r="I92" s="9"/>
      <c r="J92" s="9"/>
      <c r="K92" s="9"/>
      <c r="L92" s="9"/>
      <c r="M92" s="9"/>
      <c r="N92" s="9"/>
      <c r="O92" s="1"/>
      <c r="P92" s="1"/>
      <c r="Q92" s="165">
        <v>47010</v>
      </c>
      <c r="R92" s="166">
        <v>45810</v>
      </c>
      <c r="S92" s="1"/>
      <c r="T92" s="1"/>
      <c r="U92" s="9"/>
      <c r="V92" s="9"/>
      <c r="W92" s="9"/>
      <c r="X92" s="9"/>
      <c r="Y92" s="9"/>
      <c r="Z92" s="9"/>
    </row>
    <row r="93" spans="1:26" ht="25.5" customHeight="1" x14ac:dyDescent="0.25">
      <c r="A93" s="36">
        <v>269</v>
      </c>
      <c r="B93" s="3" t="s">
        <v>222</v>
      </c>
      <c r="C93" s="1"/>
      <c r="D93" s="1"/>
      <c r="E93" s="1"/>
      <c r="F93" s="1"/>
      <c r="G93" s="1"/>
      <c r="H93" s="1"/>
      <c r="I93" s="9"/>
      <c r="J93" s="9"/>
      <c r="K93" s="9"/>
      <c r="L93" s="9"/>
      <c r="M93" s="9"/>
      <c r="N93" s="9"/>
      <c r="O93" s="1"/>
      <c r="P93" s="1"/>
      <c r="Q93" s="1"/>
      <c r="R93" s="1"/>
      <c r="S93" s="1"/>
      <c r="T93" s="1"/>
      <c r="U93" s="9"/>
      <c r="V93" s="9"/>
      <c r="W93" s="9"/>
      <c r="X93" s="9"/>
      <c r="Y93" s="9"/>
      <c r="Z93" s="9"/>
    </row>
    <row r="94" spans="1:26" ht="25.5" customHeight="1" x14ac:dyDescent="0.25">
      <c r="A94" s="39">
        <v>275</v>
      </c>
      <c r="B94" s="3" t="s">
        <v>223</v>
      </c>
      <c r="C94" s="1"/>
      <c r="D94" s="1"/>
      <c r="E94" s="1"/>
      <c r="F94" s="1"/>
      <c r="G94" s="1"/>
      <c r="H94" s="1"/>
      <c r="I94" s="9"/>
      <c r="J94" s="9"/>
      <c r="K94" s="9"/>
      <c r="L94" s="9"/>
      <c r="M94" s="9"/>
      <c r="N94" s="9"/>
      <c r="O94" s="1"/>
      <c r="P94" s="1"/>
      <c r="Q94" s="1"/>
      <c r="R94" s="1"/>
      <c r="S94" s="1"/>
      <c r="T94" s="1"/>
      <c r="U94" s="9"/>
      <c r="V94" s="9"/>
      <c r="W94" s="9"/>
      <c r="X94" s="9"/>
      <c r="Y94" s="9"/>
      <c r="Z94" s="9"/>
    </row>
    <row r="95" spans="1:26" ht="25.5" customHeight="1" x14ac:dyDescent="0.25">
      <c r="A95" s="39">
        <v>284</v>
      </c>
      <c r="B95" s="40" t="s">
        <v>224</v>
      </c>
      <c r="C95" s="1"/>
      <c r="D95" s="1"/>
      <c r="E95" s="1"/>
      <c r="F95" s="1"/>
      <c r="G95" s="1"/>
      <c r="H95" s="1"/>
      <c r="I95" s="9"/>
      <c r="J95" s="9"/>
      <c r="K95" s="9"/>
      <c r="L95" s="9"/>
      <c r="M95" s="9"/>
      <c r="N95" s="9"/>
      <c r="O95" s="1"/>
      <c r="P95" s="1"/>
      <c r="Q95" s="1"/>
      <c r="R95" s="1"/>
      <c r="S95" s="1"/>
      <c r="T95" s="1"/>
      <c r="U95" s="9"/>
      <c r="V95" s="9"/>
      <c r="W95" s="9"/>
      <c r="X95" s="9"/>
      <c r="Y95" s="9"/>
      <c r="Z95" s="9"/>
    </row>
    <row r="96" spans="1:26" ht="25.5" customHeight="1" x14ac:dyDescent="0.25">
      <c r="A96" s="41">
        <v>285</v>
      </c>
      <c r="B96" s="38" t="s">
        <v>225</v>
      </c>
      <c r="C96" s="1"/>
      <c r="D96" s="1"/>
      <c r="E96" s="1"/>
      <c r="F96" s="1"/>
      <c r="G96" s="1"/>
      <c r="H96" s="1"/>
      <c r="I96" s="9"/>
      <c r="J96" s="9"/>
      <c r="K96" s="9"/>
      <c r="L96" s="9"/>
      <c r="M96" s="9"/>
      <c r="N96" s="9"/>
      <c r="O96" s="1"/>
      <c r="P96" s="1"/>
      <c r="Q96" s="1"/>
      <c r="R96" s="1"/>
      <c r="S96" s="1"/>
      <c r="T96" s="1"/>
      <c r="U96" s="9"/>
      <c r="V96" s="9"/>
      <c r="W96" s="9"/>
      <c r="X96" s="9"/>
      <c r="Y96" s="9"/>
      <c r="Z96" s="9"/>
    </row>
    <row r="97" spans="1:26" ht="25.5" customHeight="1" x14ac:dyDescent="0.25">
      <c r="A97" s="41">
        <v>286</v>
      </c>
      <c r="B97" s="38" t="s">
        <v>226</v>
      </c>
      <c r="C97" s="1"/>
      <c r="D97" s="1"/>
      <c r="E97" s="1"/>
      <c r="F97" s="1"/>
      <c r="G97" s="1"/>
      <c r="H97" s="1"/>
      <c r="I97" s="9"/>
      <c r="J97" s="9"/>
      <c r="K97" s="9"/>
      <c r="L97" s="9"/>
      <c r="M97" s="9"/>
      <c r="N97" s="9"/>
      <c r="O97" s="1"/>
      <c r="P97" s="1"/>
      <c r="Q97" s="1"/>
      <c r="R97" s="1"/>
      <c r="S97" s="1"/>
      <c r="T97" s="1"/>
      <c r="U97" s="9"/>
      <c r="V97" s="9"/>
      <c r="W97" s="9"/>
      <c r="X97" s="9"/>
      <c r="Y97" s="9"/>
      <c r="Z97" s="9"/>
    </row>
    <row r="98" spans="1:26" ht="25.5" customHeight="1" x14ac:dyDescent="0.25">
      <c r="A98" s="41">
        <v>287</v>
      </c>
      <c r="B98" s="38" t="s">
        <v>227</v>
      </c>
      <c r="C98" s="1"/>
      <c r="D98" s="1"/>
      <c r="E98" s="1"/>
      <c r="F98" s="1"/>
      <c r="G98" s="1"/>
      <c r="H98" s="1"/>
      <c r="I98" s="9"/>
      <c r="J98" s="9"/>
      <c r="K98" s="9"/>
      <c r="L98" s="9"/>
      <c r="M98" s="9"/>
      <c r="N98" s="9"/>
      <c r="O98" s="1"/>
      <c r="P98" s="1"/>
      <c r="Q98" s="1"/>
      <c r="R98" s="1"/>
      <c r="S98" s="1"/>
      <c r="T98" s="1"/>
      <c r="U98" s="9"/>
      <c r="V98" s="9"/>
      <c r="W98" s="9"/>
      <c r="X98" s="9"/>
      <c r="Y98" s="9"/>
      <c r="Z98" s="9"/>
    </row>
    <row r="99" spans="1:26" ht="25.5" customHeight="1" x14ac:dyDescent="0.25">
      <c r="A99" s="41">
        <v>296</v>
      </c>
      <c r="B99" s="38" t="s">
        <v>228</v>
      </c>
      <c r="C99" s="1"/>
      <c r="D99" s="1"/>
      <c r="E99" s="1"/>
      <c r="F99" s="1"/>
      <c r="G99" s="1"/>
      <c r="H99" s="1"/>
      <c r="I99" s="9"/>
      <c r="J99" s="9"/>
      <c r="K99" s="9"/>
      <c r="L99" s="9"/>
      <c r="M99" s="9"/>
      <c r="N99" s="9"/>
      <c r="O99" s="1"/>
      <c r="P99" s="1"/>
      <c r="Q99" s="1"/>
      <c r="R99" s="1"/>
      <c r="S99" s="1"/>
      <c r="T99" s="1"/>
      <c r="U99" s="9"/>
      <c r="V99" s="9"/>
      <c r="W99" s="9"/>
      <c r="X99" s="9"/>
      <c r="Y99" s="9"/>
      <c r="Z99" s="9"/>
    </row>
    <row r="100" spans="1:26" ht="25.5" customHeight="1" x14ac:dyDescent="0.25">
      <c r="A100" s="41">
        <v>298</v>
      </c>
      <c r="B100" s="38"/>
      <c r="C100" s="1"/>
      <c r="D100" s="1"/>
      <c r="E100" s="1"/>
      <c r="F100" s="1"/>
      <c r="G100" s="1"/>
      <c r="H100" s="1"/>
      <c r="I100" s="9"/>
      <c r="J100" s="9"/>
      <c r="K100" s="9"/>
      <c r="L100" s="9"/>
      <c r="M100" s="9"/>
      <c r="N100" s="9"/>
      <c r="O100" s="1"/>
      <c r="P100" s="1"/>
      <c r="Q100" s="1"/>
      <c r="R100" s="1"/>
      <c r="S100" s="1"/>
      <c r="T100" s="1"/>
      <c r="U100" s="9"/>
      <c r="V100" s="9"/>
      <c r="W100" s="9"/>
      <c r="X100" s="9"/>
      <c r="Y100" s="9"/>
      <c r="Z100" s="9"/>
    </row>
    <row r="101" spans="1:26" ht="25.5" customHeight="1" x14ac:dyDescent="0.25">
      <c r="A101" s="39">
        <v>300</v>
      </c>
      <c r="B101" s="38" t="s">
        <v>229</v>
      </c>
      <c r="C101" s="1"/>
      <c r="D101" s="1"/>
      <c r="E101" s="1"/>
      <c r="F101" s="1"/>
      <c r="G101" s="1"/>
      <c r="H101" s="1"/>
      <c r="I101" s="9"/>
      <c r="J101" s="9"/>
      <c r="K101" s="9"/>
      <c r="L101" s="9"/>
      <c r="M101" s="9"/>
      <c r="N101" s="9"/>
      <c r="O101" s="1"/>
      <c r="P101" s="1"/>
      <c r="Q101" s="1"/>
      <c r="R101" s="1"/>
      <c r="S101" s="1"/>
      <c r="T101" s="1"/>
      <c r="U101" s="9"/>
      <c r="V101" s="9"/>
      <c r="W101" s="9"/>
      <c r="X101" s="9"/>
      <c r="Y101" s="9"/>
      <c r="Z101" s="9"/>
    </row>
    <row r="102" spans="1:26" ht="25.5" customHeight="1" x14ac:dyDescent="0.25">
      <c r="A102" s="39">
        <v>301</v>
      </c>
      <c r="B102" s="38" t="s">
        <v>230</v>
      </c>
      <c r="C102" s="1"/>
      <c r="D102" s="1"/>
      <c r="E102" s="1"/>
      <c r="F102" s="1"/>
      <c r="G102" s="1"/>
      <c r="H102" s="1"/>
      <c r="I102" s="9"/>
      <c r="J102" s="9"/>
      <c r="K102" s="9"/>
      <c r="L102" s="9"/>
      <c r="M102" s="9"/>
      <c r="N102" s="9"/>
      <c r="O102" s="1"/>
      <c r="P102" s="1"/>
      <c r="Q102" s="1"/>
      <c r="R102" s="1"/>
      <c r="S102" s="1"/>
      <c r="T102" s="1"/>
      <c r="U102" s="9"/>
      <c r="V102" s="9"/>
      <c r="W102" s="9"/>
      <c r="X102" s="9"/>
      <c r="Y102" s="9"/>
      <c r="Z102" s="9"/>
    </row>
    <row r="103" spans="1:26" ht="25.5" customHeight="1" x14ac:dyDescent="0.25">
      <c r="A103" s="39">
        <v>302</v>
      </c>
      <c r="B103" s="38" t="s">
        <v>231</v>
      </c>
      <c r="C103" s="1"/>
      <c r="D103" s="1"/>
      <c r="E103" s="1"/>
      <c r="F103" s="1"/>
      <c r="G103" s="1"/>
      <c r="H103" s="1"/>
      <c r="I103" s="9"/>
      <c r="J103" s="9"/>
      <c r="K103" s="9"/>
      <c r="L103" s="9"/>
      <c r="M103" s="9"/>
      <c r="N103" s="9"/>
      <c r="O103" s="1"/>
      <c r="P103" s="1"/>
      <c r="Q103" s="1"/>
      <c r="R103" s="1"/>
      <c r="S103" s="1"/>
      <c r="T103" s="1"/>
      <c r="U103" s="9"/>
      <c r="V103" s="9"/>
      <c r="W103" s="9"/>
      <c r="X103" s="9"/>
      <c r="Y103" s="9"/>
      <c r="Z103" s="9"/>
    </row>
    <row r="104" spans="1:26" ht="25.5" customHeight="1" x14ac:dyDescent="0.25">
      <c r="A104" s="39">
        <v>303</v>
      </c>
      <c r="B104" s="38" t="s">
        <v>232</v>
      </c>
      <c r="C104" s="1"/>
      <c r="D104" s="1"/>
      <c r="E104" s="1"/>
      <c r="F104" s="1"/>
      <c r="G104" s="1"/>
      <c r="H104" s="1"/>
      <c r="I104" s="9"/>
      <c r="J104" s="9"/>
      <c r="K104" s="9"/>
      <c r="L104" s="9"/>
      <c r="M104" s="9"/>
      <c r="N104" s="9"/>
      <c r="O104" s="1"/>
      <c r="P104" s="1"/>
      <c r="Q104" s="1"/>
      <c r="R104" s="1"/>
      <c r="S104" s="1"/>
      <c r="T104" s="1"/>
      <c r="U104" s="9"/>
      <c r="V104" s="9"/>
      <c r="W104" s="9"/>
      <c r="X104" s="9"/>
      <c r="Y104" s="9"/>
      <c r="Z104" s="9"/>
    </row>
    <row r="105" spans="1:26" ht="25.5" customHeight="1" x14ac:dyDescent="0.25">
      <c r="A105" s="42">
        <v>304</v>
      </c>
      <c r="B105" s="3" t="s">
        <v>233</v>
      </c>
      <c r="C105" s="1"/>
      <c r="D105" s="1"/>
      <c r="E105" s="1"/>
      <c r="F105" s="1"/>
      <c r="G105" s="1"/>
      <c r="H105" s="1"/>
      <c r="I105" s="9"/>
      <c r="J105" s="9"/>
      <c r="K105" s="9"/>
      <c r="L105" s="9"/>
      <c r="M105" s="9"/>
      <c r="N105" s="9"/>
      <c r="O105" s="1"/>
      <c r="P105" s="1"/>
      <c r="Q105" s="1"/>
      <c r="R105" s="1"/>
      <c r="S105" s="1"/>
      <c r="T105" s="1"/>
      <c r="U105" s="9"/>
      <c r="V105" s="9"/>
      <c r="W105" s="9"/>
      <c r="X105" s="9"/>
      <c r="Y105" s="9"/>
      <c r="Z105" s="9"/>
    </row>
    <row r="106" spans="1:26" ht="25.5" customHeight="1" x14ac:dyDescent="0.25">
      <c r="A106" s="42">
        <v>305</v>
      </c>
      <c r="B106" s="3" t="s">
        <v>234</v>
      </c>
      <c r="C106" s="1"/>
      <c r="D106" s="1"/>
      <c r="E106" s="1"/>
      <c r="F106" s="1"/>
      <c r="G106" s="1"/>
      <c r="H106" s="1"/>
      <c r="I106" s="9"/>
      <c r="J106" s="9"/>
      <c r="K106" s="9"/>
      <c r="L106" s="9"/>
      <c r="M106" s="9"/>
      <c r="N106" s="9"/>
      <c r="O106" s="1"/>
      <c r="P106" s="1"/>
      <c r="Q106" s="1"/>
      <c r="R106" s="1"/>
      <c r="S106" s="1"/>
      <c r="T106" s="1"/>
      <c r="U106" s="9"/>
      <c r="V106" s="9"/>
      <c r="W106" s="9"/>
      <c r="X106" s="9"/>
      <c r="Y106" s="9"/>
      <c r="Z106" s="9"/>
    </row>
    <row r="107" spans="1:26" ht="25.5" customHeight="1" x14ac:dyDescent="0.25">
      <c r="A107" s="39">
        <v>306</v>
      </c>
      <c r="B107" s="3" t="s">
        <v>235</v>
      </c>
      <c r="C107" s="1"/>
      <c r="D107" s="1"/>
      <c r="E107" s="1"/>
      <c r="F107" s="1"/>
      <c r="G107" s="1"/>
      <c r="H107" s="1"/>
      <c r="I107" s="9"/>
      <c r="J107" s="9"/>
      <c r="K107" s="9"/>
      <c r="L107" s="9"/>
      <c r="M107" s="9"/>
      <c r="N107" s="9"/>
      <c r="O107" s="1"/>
      <c r="P107" s="1"/>
      <c r="Q107" s="1"/>
      <c r="R107" s="1"/>
      <c r="S107" s="1"/>
      <c r="T107" s="1"/>
      <c r="U107" s="9"/>
      <c r="V107" s="9"/>
      <c r="W107" s="9"/>
      <c r="X107" s="9"/>
      <c r="Y107" s="9"/>
      <c r="Z107" s="9"/>
    </row>
    <row r="108" spans="1:26" ht="25.5" customHeight="1" x14ac:dyDescent="0.25">
      <c r="A108" s="39">
        <v>311</v>
      </c>
      <c r="B108" s="3" t="s">
        <v>236</v>
      </c>
      <c r="C108" s="1"/>
      <c r="D108" s="1"/>
      <c r="E108" s="1"/>
      <c r="F108" s="1"/>
      <c r="G108" s="1"/>
      <c r="H108" s="1"/>
      <c r="I108" s="9"/>
      <c r="J108" s="9"/>
      <c r="K108" s="9"/>
      <c r="L108" s="9"/>
      <c r="M108" s="9"/>
      <c r="N108" s="9"/>
      <c r="O108" s="1"/>
      <c r="P108" s="1"/>
      <c r="Q108" s="1"/>
      <c r="R108" s="1"/>
      <c r="S108" s="1"/>
      <c r="T108" s="1"/>
      <c r="U108" s="9"/>
      <c r="V108" s="9"/>
      <c r="W108" s="9"/>
      <c r="X108" s="9"/>
      <c r="Y108" s="9"/>
      <c r="Z108" s="9"/>
    </row>
    <row r="109" spans="1:26" ht="25.5" customHeight="1" x14ac:dyDescent="0.25">
      <c r="A109" s="39">
        <v>312</v>
      </c>
      <c r="B109" s="3" t="s">
        <v>237</v>
      </c>
      <c r="C109" s="1"/>
      <c r="D109" s="1"/>
      <c r="E109" s="1"/>
      <c r="F109" s="1"/>
      <c r="G109" s="1"/>
      <c r="H109" s="1"/>
      <c r="I109" s="9"/>
      <c r="J109" s="9"/>
      <c r="K109" s="9"/>
      <c r="L109" s="9"/>
      <c r="M109" s="9"/>
      <c r="N109" s="9"/>
      <c r="O109" s="1"/>
      <c r="P109" s="1"/>
      <c r="Q109" s="1"/>
      <c r="R109" s="1"/>
      <c r="S109" s="1"/>
      <c r="T109" s="1"/>
      <c r="U109" s="9"/>
      <c r="V109" s="9"/>
      <c r="W109" s="9"/>
      <c r="X109" s="9"/>
      <c r="Y109" s="9"/>
      <c r="Z109" s="9"/>
    </row>
    <row r="110" spans="1:26" ht="25.5" customHeight="1" x14ac:dyDescent="0.25">
      <c r="A110" s="39">
        <v>313</v>
      </c>
      <c r="B110" s="38" t="s">
        <v>238</v>
      </c>
      <c r="C110" s="1"/>
      <c r="D110" s="1"/>
      <c r="E110" s="1"/>
      <c r="F110" s="1"/>
      <c r="G110" s="1"/>
      <c r="H110" s="1"/>
      <c r="I110" s="9"/>
      <c r="J110" s="9"/>
      <c r="K110" s="9"/>
      <c r="L110" s="9"/>
      <c r="M110" s="9"/>
      <c r="N110" s="9"/>
      <c r="O110" s="1"/>
      <c r="P110" s="1"/>
      <c r="Q110" s="1"/>
      <c r="R110" s="1"/>
      <c r="S110" s="1"/>
      <c r="T110" s="1"/>
      <c r="U110" s="9"/>
      <c r="V110" s="9"/>
      <c r="W110" s="9"/>
      <c r="X110" s="9"/>
      <c r="Y110" s="9"/>
      <c r="Z110" s="9"/>
    </row>
    <row r="111" spans="1:26" ht="25.5" customHeight="1" x14ac:dyDescent="0.25">
      <c r="A111" s="39">
        <v>314</v>
      </c>
      <c r="B111" s="3" t="s">
        <v>239</v>
      </c>
      <c r="C111" s="1"/>
      <c r="D111" s="1"/>
      <c r="E111" s="1"/>
      <c r="F111" s="1"/>
      <c r="G111" s="1"/>
      <c r="H111" s="1"/>
      <c r="I111" s="9"/>
      <c r="J111" s="9"/>
      <c r="K111" s="9"/>
      <c r="L111" s="9"/>
      <c r="M111" s="9"/>
      <c r="N111" s="9"/>
      <c r="O111" s="1"/>
      <c r="P111" s="1"/>
      <c r="Q111" s="1"/>
      <c r="R111" s="1"/>
      <c r="S111" s="1"/>
      <c r="T111" s="1"/>
      <c r="U111" s="9"/>
      <c r="V111" s="9"/>
      <c r="W111" s="9"/>
      <c r="X111" s="9"/>
      <c r="Y111" s="9"/>
      <c r="Z111" s="9"/>
    </row>
    <row r="112" spans="1:26" ht="25.5" customHeight="1" x14ac:dyDescent="0.25">
      <c r="A112" s="39">
        <v>320</v>
      </c>
      <c r="B112" s="3" t="s">
        <v>240</v>
      </c>
      <c r="C112" s="1"/>
      <c r="D112" s="1"/>
      <c r="E112" s="1"/>
      <c r="F112" s="1"/>
      <c r="G112" s="1"/>
      <c r="H112" s="1"/>
      <c r="I112" s="9"/>
      <c r="J112" s="9"/>
      <c r="K112" s="9"/>
      <c r="L112" s="9"/>
      <c r="M112" s="9"/>
      <c r="N112" s="9"/>
      <c r="O112" s="1"/>
      <c r="P112" s="1"/>
      <c r="Q112" s="1"/>
      <c r="R112" s="1"/>
      <c r="S112" s="1"/>
      <c r="T112" s="1"/>
      <c r="U112" s="9"/>
      <c r="V112" s="9"/>
      <c r="W112" s="9"/>
      <c r="X112" s="9"/>
      <c r="Y112" s="9"/>
      <c r="Z112" s="9"/>
    </row>
    <row r="113" spans="1:26" ht="25.5" customHeight="1" x14ac:dyDescent="0.25">
      <c r="A113" s="39">
        <v>330</v>
      </c>
      <c r="B113" s="3"/>
      <c r="C113" s="1"/>
      <c r="D113" s="1"/>
      <c r="E113" s="1"/>
      <c r="F113" s="1"/>
      <c r="G113" s="1"/>
      <c r="H113" s="1"/>
      <c r="I113" s="9"/>
      <c r="J113" s="9"/>
      <c r="K113" s="9"/>
      <c r="L113" s="9"/>
      <c r="M113" s="9"/>
      <c r="N113" s="9"/>
      <c r="O113" s="1"/>
      <c r="P113" s="1"/>
      <c r="Q113" s="1"/>
      <c r="R113" s="1"/>
      <c r="S113" s="1"/>
      <c r="T113" s="1"/>
      <c r="U113" s="9"/>
      <c r="V113" s="9"/>
      <c r="W113" s="9"/>
      <c r="X113" s="9"/>
      <c r="Y113" s="9"/>
      <c r="Z113" s="9"/>
    </row>
    <row r="114" spans="1:26" ht="25.5" customHeight="1" x14ac:dyDescent="0.25">
      <c r="A114" s="39">
        <v>331</v>
      </c>
      <c r="B114" s="3"/>
      <c r="C114" s="1"/>
      <c r="D114" s="1"/>
      <c r="E114" s="1"/>
      <c r="F114" s="1"/>
      <c r="G114" s="1"/>
      <c r="H114" s="1"/>
      <c r="I114" s="9"/>
      <c r="J114" s="9"/>
      <c r="K114" s="9"/>
      <c r="L114" s="9"/>
      <c r="M114" s="9"/>
      <c r="N114" s="9"/>
      <c r="O114" s="1"/>
      <c r="P114" s="1"/>
      <c r="Q114" s="1"/>
      <c r="R114" s="1"/>
      <c r="S114" s="1"/>
      <c r="T114" s="1"/>
      <c r="U114" s="9"/>
      <c r="V114" s="9"/>
      <c r="W114" s="9"/>
      <c r="X114" s="9"/>
      <c r="Y114" s="9"/>
      <c r="Z114" s="9"/>
    </row>
    <row r="115" spans="1:26" ht="25.5" customHeight="1" x14ac:dyDescent="0.25">
      <c r="A115" s="39">
        <v>332</v>
      </c>
      <c r="B115" s="3"/>
      <c r="C115" s="166"/>
      <c r="D115" s="1"/>
      <c r="E115" s="1">
        <v>7123</v>
      </c>
      <c r="F115" s="166">
        <v>45808</v>
      </c>
      <c r="G115" s="1"/>
      <c r="H115" s="1"/>
      <c r="I115" s="9"/>
      <c r="J115" s="9"/>
      <c r="K115" s="154">
        <v>7123</v>
      </c>
      <c r="L115" s="155">
        <v>45808</v>
      </c>
      <c r="M115" s="9"/>
      <c r="N115" s="9"/>
      <c r="O115" s="1"/>
      <c r="P115" s="1"/>
      <c r="Q115" s="1"/>
      <c r="R115" s="1"/>
      <c r="S115" s="1"/>
      <c r="T115" s="1"/>
      <c r="U115" s="9"/>
      <c r="V115" s="9"/>
      <c r="W115" s="9"/>
      <c r="X115" s="9"/>
      <c r="Y115" s="9"/>
      <c r="Z115" s="9"/>
    </row>
    <row r="116" spans="1:26" ht="25.5" customHeight="1" x14ac:dyDescent="0.25">
      <c r="A116" s="39">
        <v>333</v>
      </c>
      <c r="B116" s="3"/>
      <c r="C116" s="1"/>
      <c r="D116" s="1"/>
      <c r="E116" s="1"/>
      <c r="F116" s="1"/>
      <c r="G116" s="1"/>
      <c r="H116" s="1"/>
      <c r="I116" s="9"/>
      <c r="J116" s="9"/>
      <c r="K116" s="9"/>
      <c r="L116" s="9"/>
      <c r="M116" s="9"/>
      <c r="N116" s="9"/>
      <c r="O116" s="1"/>
      <c r="P116" s="1"/>
      <c r="Q116" s="1"/>
      <c r="R116" s="1"/>
      <c r="S116" s="1"/>
      <c r="T116" s="1"/>
      <c r="U116" s="9"/>
      <c r="V116" s="9"/>
      <c r="W116" s="9"/>
      <c r="X116" s="9"/>
      <c r="Y116" s="9"/>
      <c r="Z116" s="9"/>
    </row>
    <row r="117" spans="1:26" ht="25.5" customHeight="1" x14ac:dyDescent="0.25">
      <c r="A117" s="39">
        <v>334</v>
      </c>
      <c r="B117" s="3"/>
      <c r="C117" s="1"/>
      <c r="D117" s="1"/>
      <c r="E117" s="1"/>
      <c r="F117" s="1"/>
      <c r="G117" s="1"/>
      <c r="H117" s="1"/>
      <c r="I117" s="9"/>
      <c r="J117" s="9"/>
      <c r="K117" s="9"/>
      <c r="L117" s="9"/>
      <c r="M117" s="9"/>
      <c r="N117" s="9"/>
      <c r="O117" s="1"/>
      <c r="P117" s="1"/>
      <c r="Q117" s="1"/>
      <c r="R117" s="1"/>
      <c r="S117" s="1"/>
      <c r="T117" s="1"/>
      <c r="U117" s="9"/>
      <c r="V117" s="9"/>
      <c r="W117" s="9"/>
      <c r="X117" s="9"/>
      <c r="Y117" s="9"/>
      <c r="Z117" s="9"/>
    </row>
    <row r="118" spans="1:26" ht="25.5" customHeight="1" x14ac:dyDescent="0.25">
      <c r="A118" s="43" t="s">
        <v>241</v>
      </c>
      <c r="B118" s="43" t="s">
        <v>242</v>
      </c>
      <c r="C118" s="1"/>
      <c r="D118" s="1"/>
      <c r="E118" s="1"/>
      <c r="F118" s="1"/>
      <c r="G118" s="1"/>
      <c r="H118" s="1"/>
      <c r="I118" s="9"/>
      <c r="J118" s="9"/>
      <c r="K118" s="9"/>
      <c r="L118" s="9"/>
      <c r="M118" s="9"/>
      <c r="N118" s="9"/>
      <c r="O118" s="1"/>
      <c r="P118" s="1"/>
      <c r="Q118" s="1"/>
      <c r="R118" s="1"/>
      <c r="S118" s="1"/>
      <c r="T118" s="1"/>
      <c r="U118" s="9"/>
      <c r="V118" s="9"/>
      <c r="W118" s="9"/>
      <c r="X118" s="9"/>
      <c r="Y118" s="9"/>
      <c r="Z118" s="9"/>
    </row>
    <row r="119" spans="1:26" ht="25.5" customHeight="1" x14ac:dyDescent="0.25">
      <c r="A119" s="43" t="s">
        <v>243</v>
      </c>
      <c r="B119" s="43" t="s">
        <v>244</v>
      </c>
      <c r="C119" s="1"/>
      <c r="D119" s="1"/>
      <c r="E119" s="1"/>
      <c r="F119" s="1"/>
      <c r="G119" s="1"/>
      <c r="H119" s="1"/>
      <c r="I119" s="9"/>
      <c r="J119" s="9"/>
      <c r="K119" s="9"/>
      <c r="L119" s="9"/>
      <c r="M119" s="9"/>
      <c r="N119" s="9"/>
      <c r="O119" s="1"/>
      <c r="P119" s="1"/>
      <c r="Q119" s="1"/>
      <c r="R119" s="1"/>
      <c r="S119" s="1"/>
      <c r="T119" s="1"/>
      <c r="U119" s="9"/>
      <c r="V119" s="9"/>
      <c r="W119" s="9"/>
      <c r="X119" s="9"/>
      <c r="Y119" s="9"/>
      <c r="Z119" s="9"/>
    </row>
  </sheetData>
  <mergeCells count="4">
    <mergeCell ref="U2:Z2"/>
    <mergeCell ref="C2:H2"/>
    <mergeCell ref="I2:N2"/>
    <mergeCell ref="O2:T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18"/>
  <sheetViews>
    <sheetView topLeftCell="A30" zoomScale="70" zoomScaleNormal="70" workbookViewId="0">
      <selection activeCell="G107" sqref="G107"/>
    </sheetView>
  </sheetViews>
  <sheetFormatPr baseColWidth="10" defaultRowHeight="15" x14ac:dyDescent="0.25"/>
  <cols>
    <col min="2" max="2" width="13.28515625" customWidth="1"/>
    <col min="5" max="5" width="14.28515625" bestFit="1" customWidth="1"/>
    <col min="7" max="7" width="21.28515625" bestFit="1" customWidth="1"/>
    <col min="10" max="10" width="17.5703125" customWidth="1"/>
  </cols>
  <sheetData>
    <row r="1" spans="1:13" ht="15.75" x14ac:dyDescent="0.25">
      <c r="A1" s="366" t="s">
        <v>257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</row>
    <row r="2" spans="1:13" s="12" customFormat="1" x14ac:dyDescent="0.25">
      <c r="A2" s="44" t="s">
        <v>0</v>
      </c>
      <c r="B2" s="45" t="s">
        <v>1</v>
      </c>
      <c r="C2" s="23" t="s">
        <v>246</v>
      </c>
      <c r="D2" s="23" t="s">
        <v>247</v>
      </c>
      <c r="E2" s="23" t="s">
        <v>248</v>
      </c>
      <c r="F2" s="23" t="s">
        <v>249</v>
      </c>
      <c r="G2" s="23" t="s">
        <v>250</v>
      </c>
      <c r="H2" s="23" t="s">
        <v>252</v>
      </c>
      <c r="I2" s="23" t="s">
        <v>253</v>
      </c>
      <c r="J2" s="23" t="s">
        <v>254</v>
      </c>
      <c r="K2" s="23" t="s">
        <v>255</v>
      </c>
      <c r="L2" s="23" t="s">
        <v>256</v>
      </c>
      <c r="M2" s="23" t="s">
        <v>258</v>
      </c>
    </row>
    <row r="3" spans="1:13" ht="32.25" customHeight="1" x14ac:dyDescent="0.25">
      <c r="A3" s="36">
        <v>2</v>
      </c>
      <c r="B3" s="3" t="s">
        <v>134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32.25" customHeight="1" x14ac:dyDescent="0.25">
      <c r="A4" s="36">
        <v>3</v>
      </c>
      <c r="B4" s="3" t="s">
        <v>135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32.25" customHeight="1" x14ac:dyDescent="0.25">
      <c r="A5" s="36">
        <v>4</v>
      </c>
      <c r="B5" s="3" t="s">
        <v>136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2.25" customHeight="1" x14ac:dyDescent="0.25">
      <c r="A6" s="36">
        <v>6</v>
      </c>
      <c r="B6" s="3" t="s">
        <v>137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2.25" customHeight="1" x14ac:dyDescent="0.25">
      <c r="A7" s="36">
        <v>7</v>
      </c>
      <c r="B7" s="3" t="s">
        <v>138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2.25" customHeight="1" x14ac:dyDescent="0.25">
      <c r="A8" s="36">
        <v>8</v>
      </c>
      <c r="B8" s="3" t="s">
        <v>139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2.25" customHeight="1" x14ac:dyDescent="0.25">
      <c r="A9" s="36">
        <v>9</v>
      </c>
      <c r="B9" s="3" t="s">
        <v>140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32.25" customHeight="1" x14ac:dyDescent="0.25">
      <c r="A10" s="37">
        <v>10</v>
      </c>
      <c r="B10" s="3" t="s">
        <v>141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32.25" customHeight="1" x14ac:dyDescent="0.25">
      <c r="A11" s="37">
        <v>11</v>
      </c>
      <c r="B11" s="38" t="s">
        <v>142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32.25" customHeight="1" x14ac:dyDescent="0.25">
      <c r="A12" s="39">
        <v>13</v>
      </c>
      <c r="B12" s="38" t="s">
        <v>143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32.25" customHeight="1" x14ac:dyDescent="0.25">
      <c r="A13" s="39">
        <v>99</v>
      </c>
      <c r="B13" s="3" t="s">
        <v>144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32.25" customHeight="1" x14ac:dyDescent="0.25">
      <c r="A14" s="36">
        <v>125</v>
      </c>
      <c r="B14" s="3" t="s">
        <v>145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32.25" customHeight="1" x14ac:dyDescent="0.25">
      <c r="A15" s="36">
        <v>130</v>
      </c>
      <c r="B15" s="3" t="s">
        <v>146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32.25" customHeight="1" x14ac:dyDescent="0.25">
      <c r="A16" s="36">
        <v>131</v>
      </c>
      <c r="B16" s="3" t="s">
        <v>147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32.25" customHeight="1" x14ac:dyDescent="0.25">
      <c r="A17" s="36">
        <v>132</v>
      </c>
      <c r="B17" s="3" t="s">
        <v>148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32.25" customHeight="1" x14ac:dyDescent="0.25">
      <c r="A18" s="36">
        <v>133</v>
      </c>
      <c r="B18" s="3" t="s">
        <v>149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32.25" customHeight="1" x14ac:dyDescent="0.25">
      <c r="A19" s="36">
        <v>134</v>
      </c>
      <c r="B19" s="3" t="s">
        <v>150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32.25" customHeight="1" x14ac:dyDescent="0.25">
      <c r="A20" s="36">
        <v>135</v>
      </c>
      <c r="B20" s="3" t="s">
        <v>151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32.25" customHeight="1" x14ac:dyDescent="0.25">
      <c r="A21" s="36">
        <v>136</v>
      </c>
      <c r="B21" s="3" t="s">
        <v>152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32.25" customHeight="1" x14ac:dyDescent="0.25">
      <c r="A22" s="36">
        <v>137</v>
      </c>
      <c r="B22" s="3" t="s">
        <v>153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32.25" customHeight="1" x14ac:dyDescent="0.25">
      <c r="A23" s="36">
        <v>138</v>
      </c>
      <c r="B23" s="3" t="s">
        <v>154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32.25" customHeight="1" x14ac:dyDescent="0.25">
      <c r="A24" s="36">
        <v>139</v>
      </c>
      <c r="B24" s="3" t="s">
        <v>155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32.25" customHeight="1" x14ac:dyDescent="0.25">
      <c r="A25" s="36">
        <v>142</v>
      </c>
      <c r="B25" s="3" t="s">
        <v>156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32.25" customHeight="1" x14ac:dyDescent="0.25">
      <c r="A26" s="36">
        <v>145</v>
      </c>
      <c r="B26" s="3" t="s">
        <v>157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32.25" customHeight="1" x14ac:dyDescent="0.25">
      <c r="A27" s="36">
        <v>146</v>
      </c>
      <c r="B27" s="3" t="s">
        <v>158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32.25" customHeight="1" x14ac:dyDescent="0.25">
      <c r="A28" s="36">
        <v>147</v>
      </c>
      <c r="B28" s="3" t="s">
        <v>159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32.25" customHeight="1" x14ac:dyDescent="0.25">
      <c r="A29" s="36">
        <v>148</v>
      </c>
      <c r="B29" s="3" t="s">
        <v>160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32.25" customHeight="1" x14ac:dyDescent="0.25">
      <c r="A30" s="36">
        <v>152</v>
      </c>
      <c r="B30" s="3" t="s">
        <v>260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32.25" customHeight="1" x14ac:dyDescent="0.25">
      <c r="A31" s="36">
        <v>153</v>
      </c>
      <c r="B31" s="3" t="s">
        <v>161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32.25" customHeight="1" x14ac:dyDescent="0.25">
      <c r="A32" s="36">
        <v>154</v>
      </c>
      <c r="B32" s="3" t="s">
        <v>162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32.25" customHeight="1" x14ac:dyDescent="0.25">
      <c r="A33" s="36">
        <v>156</v>
      </c>
      <c r="B33" s="3" t="s">
        <v>163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32.25" customHeight="1" x14ac:dyDescent="0.25">
      <c r="A34" s="36">
        <v>158</v>
      </c>
      <c r="B34" s="3" t="s">
        <v>164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32.25" customHeight="1" x14ac:dyDescent="0.25">
      <c r="A35" s="36">
        <v>159</v>
      </c>
      <c r="B35" s="3" t="s">
        <v>165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32.25" customHeight="1" x14ac:dyDescent="0.25">
      <c r="A36" s="36">
        <v>160</v>
      </c>
      <c r="B36" s="3" t="s">
        <v>166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32.25" customHeight="1" x14ac:dyDescent="0.25">
      <c r="A37" s="36">
        <v>161</v>
      </c>
      <c r="B37" s="3" t="s">
        <v>167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32.25" customHeight="1" x14ac:dyDescent="0.25">
      <c r="A38" s="36">
        <v>162</v>
      </c>
      <c r="B38" s="3" t="s">
        <v>168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32.25" customHeight="1" x14ac:dyDescent="0.25">
      <c r="A39" s="36">
        <v>163</v>
      </c>
      <c r="B39" s="3" t="s">
        <v>169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32.25" customHeight="1" x14ac:dyDescent="0.25">
      <c r="A40" s="36">
        <v>164</v>
      </c>
      <c r="B40" s="3" t="s">
        <v>170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32.25" customHeight="1" x14ac:dyDescent="0.25">
      <c r="A41" s="36">
        <v>165</v>
      </c>
      <c r="B41" s="3" t="s">
        <v>171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32.25" customHeight="1" x14ac:dyDescent="0.25">
      <c r="A42" s="36">
        <v>166</v>
      </c>
      <c r="B42" s="3" t="s">
        <v>172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32.25" customHeight="1" x14ac:dyDescent="0.25">
      <c r="A43" s="36">
        <v>168</v>
      </c>
      <c r="B43" s="3" t="s">
        <v>173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32.25" customHeight="1" x14ac:dyDescent="0.25">
      <c r="A44" s="36">
        <v>169</v>
      </c>
      <c r="B44" s="3" t="s">
        <v>174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32.25" customHeight="1" x14ac:dyDescent="0.25">
      <c r="A45" s="36">
        <v>170</v>
      </c>
      <c r="B45" s="3" t="s">
        <v>175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32.25" customHeight="1" x14ac:dyDescent="0.25">
      <c r="A46" s="36">
        <v>171</v>
      </c>
      <c r="B46" s="3" t="s">
        <v>176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32.25" customHeight="1" x14ac:dyDescent="0.25">
      <c r="A47" s="36">
        <v>172</v>
      </c>
      <c r="B47" s="3" t="s">
        <v>177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32.25" customHeight="1" x14ac:dyDescent="0.25">
      <c r="A48" s="36">
        <v>173</v>
      </c>
      <c r="B48" s="3" t="s">
        <v>178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32.25" customHeight="1" x14ac:dyDescent="0.25">
      <c r="A49" s="36">
        <v>174</v>
      </c>
      <c r="B49" s="3" t="s">
        <v>179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32.25" customHeight="1" x14ac:dyDescent="0.25">
      <c r="A50" s="36">
        <v>175</v>
      </c>
      <c r="B50" s="3" t="s">
        <v>180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32.25" customHeight="1" x14ac:dyDescent="0.25">
      <c r="A51" s="36">
        <v>177</v>
      </c>
      <c r="B51" s="3" t="s">
        <v>181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32.25" customHeight="1" x14ac:dyDescent="0.25">
      <c r="A52" s="36">
        <v>178</v>
      </c>
      <c r="B52" s="3" t="s">
        <v>182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32.25" customHeight="1" x14ac:dyDescent="0.25">
      <c r="A53" s="36">
        <v>179</v>
      </c>
      <c r="B53" s="3" t="s">
        <v>183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32.25" customHeight="1" x14ac:dyDescent="0.25">
      <c r="A54" s="36">
        <v>180</v>
      </c>
      <c r="B54" s="3" t="s">
        <v>184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32.25" customHeight="1" x14ac:dyDescent="0.25">
      <c r="A55" s="36">
        <v>183</v>
      </c>
      <c r="B55" s="3" t="s">
        <v>185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32.25" customHeight="1" x14ac:dyDescent="0.25">
      <c r="A56" s="36">
        <v>184</v>
      </c>
      <c r="B56" s="3" t="s">
        <v>186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32.25" customHeight="1" x14ac:dyDescent="0.25">
      <c r="A57" s="36">
        <v>186</v>
      </c>
      <c r="B57" s="3" t="s">
        <v>187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32.25" customHeight="1" x14ac:dyDescent="0.25">
      <c r="A58" s="36">
        <v>187</v>
      </c>
      <c r="B58" s="3" t="s">
        <v>188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32.25" customHeight="1" x14ac:dyDescent="0.25">
      <c r="A59" s="39">
        <v>201</v>
      </c>
      <c r="B59" s="3" t="s">
        <v>189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32.25" customHeight="1" x14ac:dyDescent="0.25">
      <c r="A60" s="39">
        <v>202</v>
      </c>
      <c r="B60" s="3" t="s">
        <v>190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32.25" customHeight="1" x14ac:dyDescent="0.25">
      <c r="A61" s="39">
        <v>203</v>
      </c>
      <c r="B61" s="3" t="s">
        <v>191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32.25" customHeight="1" x14ac:dyDescent="0.25">
      <c r="A62" s="39">
        <v>204</v>
      </c>
      <c r="B62" s="3" t="s">
        <v>192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32.25" customHeight="1" x14ac:dyDescent="0.25">
      <c r="A63" s="39">
        <v>205</v>
      </c>
      <c r="B63" s="3" t="s">
        <v>193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32.25" customHeight="1" x14ac:dyDescent="0.25">
      <c r="A64" s="39">
        <v>206</v>
      </c>
      <c r="B64" s="3" t="s">
        <v>194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32.25" customHeight="1" x14ac:dyDescent="0.25">
      <c r="A65" s="39">
        <v>207</v>
      </c>
      <c r="B65" s="3" t="s">
        <v>195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32.25" customHeight="1" x14ac:dyDescent="0.25">
      <c r="A66" s="39">
        <v>208</v>
      </c>
      <c r="B66" s="3" t="s">
        <v>196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32.25" customHeight="1" x14ac:dyDescent="0.25">
      <c r="A67" s="39">
        <v>209</v>
      </c>
      <c r="B67" s="3" t="s">
        <v>197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32.25" customHeight="1" x14ac:dyDescent="0.25">
      <c r="A68" s="39">
        <v>210</v>
      </c>
      <c r="B68" s="3" t="s">
        <v>198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32.25" customHeight="1" x14ac:dyDescent="0.25">
      <c r="A69" s="39">
        <v>211</v>
      </c>
      <c r="B69" s="3" t="s">
        <v>199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32.25" customHeight="1" x14ac:dyDescent="0.25">
      <c r="A70" s="39">
        <v>212</v>
      </c>
      <c r="B70" s="3" t="s">
        <v>200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32.25" customHeight="1" x14ac:dyDescent="0.25">
      <c r="A71" s="39">
        <v>214</v>
      </c>
      <c r="B71" s="3" t="s">
        <v>201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32.25" customHeight="1" x14ac:dyDescent="0.25">
      <c r="A72" s="39">
        <v>215</v>
      </c>
      <c r="B72" s="3" t="s">
        <v>202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32.25" customHeight="1" x14ac:dyDescent="0.25">
      <c r="A73" s="36">
        <v>221</v>
      </c>
      <c r="B73" s="3" t="s">
        <v>203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32.25" customHeight="1" x14ac:dyDescent="0.25">
      <c r="A74" s="36">
        <v>222</v>
      </c>
      <c r="B74" s="3" t="s">
        <v>204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32.25" customHeight="1" x14ac:dyDescent="0.25">
      <c r="A75" s="36">
        <v>223</v>
      </c>
      <c r="B75" s="3" t="s">
        <v>205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32.25" customHeight="1" x14ac:dyDescent="0.25">
      <c r="A76" s="36">
        <v>224</v>
      </c>
      <c r="B76" s="3" t="s">
        <v>206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32.25" customHeight="1" x14ac:dyDescent="0.25">
      <c r="A77" s="36">
        <v>225</v>
      </c>
      <c r="B77" s="3" t="s">
        <v>207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32.25" customHeight="1" x14ac:dyDescent="0.25">
      <c r="A78" s="36">
        <v>229</v>
      </c>
      <c r="B78" s="3" t="s">
        <v>208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32.25" customHeight="1" x14ac:dyDescent="0.25">
      <c r="A79" s="36">
        <v>230</v>
      </c>
      <c r="B79" s="3" t="s">
        <v>209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32.25" customHeight="1" x14ac:dyDescent="0.25">
      <c r="A80" s="36">
        <v>231</v>
      </c>
      <c r="B80" s="3" t="s">
        <v>210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32.25" customHeight="1" x14ac:dyDescent="0.25">
      <c r="A81" s="36">
        <v>232</v>
      </c>
      <c r="B81" s="3" t="s">
        <v>211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32.25" customHeight="1" x14ac:dyDescent="0.25">
      <c r="A82" s="36">
        <v>233</v>
      </c>
      <c r="B82" s="3" t="s">
        <v>212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32.25" customHeight="1" x14ac:dyDescent="0.25">
      <c r="A83" s="36">
        <v>234</v>
      </c>
      <c r="B83" s="3" t="s">
        <v>213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32.25" customHeight="1" x14ac:dyDescent="0.25">
      <c r="A84" s="36">
        <v>241</v>
      </c>
      <c r="B84" s="3" t="s">
        <v>214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32.25" customHeight="1" x14ac:dyDescent="0.25">
      <c r="A85" s="36">
        <v>242</v>
      </c>
      <c r="B85" s="3" t="s">
        <v>215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32.25" customHeight="1" x14ac:dyDescent="0.25">
      <c r="A86" s="36">
        <v>243</v>
      </c>
      <c r="B86" s="3" t="s">
        <v>216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32.25" customHeight="1" x14ac:dyDescent="0.25">
      <c r="A87" s="36">
        <v>244</v>
      </c>
      <c r="B87" s="3" t="s">
        <v>217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32.25" customHeight="1" x14ac:dyDescent="0.25">
      <c r="A88" s="36">
        <v>245</v>
      </c>
      <c r="B88" s="3" t="s">
        <v>218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32.25" customHeight="1" x14ac:dyDescent="0.25">
      <c r="A89" s="36">
        <v>246</v>
      </c>
      <c r="B89" s="3" t="s">
        <v>219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32.25" customHeight="1" x14ac:dyDescent="0.25">
      <c r="A90" s="36">
        <v>248</v>
      </c>
      <c r="B90" s="3" t="s">
        <v>220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32.25" customHeight="1" x14ac:dyDescent="0.25">
      <c r="A91" s="36">
        <v>260</v>
      </c>
      <c r="B91" s="3" t="s">
        <v>221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32.25" customHeight="1" x14ac:dyDescent="0.25">
      <c r="A92" s="36">
        <v>269</v>
      </c>
      <c r="B92" s="3" t="s">
        <v>222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32.25" customHeight="1" x14ac:dyDescent="0.25">
      <c r="A93" s="39">
        <v>275</v>
      </c>
      <c r="B93" s="3" t="s">
        <v>223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32.25" customHeight="1" x14ac:dyDescent="0.25">
      <c r="A94" s="39">
        <v>284</v>
      </c>
      <c r="B94" s="40" t="s">
        <v>224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32.25" customHeight="1" x14ac:dyDescent="0.25">
      <c r="A95" s="41">
        <v>285</v>
      </c>
      <c r="B95" s="38" t="s">
        <v>225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32.25" customHeight="1" x14ac:dyDescent="0.25">
      <c r="A96" s="41">
        <v>286</v>
      </c>
      <c r="B96" s="38" t="s">
        <v>226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32.25" customHeight="1" x14ac:dyDescent="0.25">
      <c r="A97" s="41">
        <v>287</v>
      </c>
      <c r="B97" s="38" t="s">
        <v>227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32.25" customHeight="1" x14ac:dyDescent="0.25">
      <c r="A98" s="41">
        <v>296</v>
      </c>
      <c r="B98" s="38" t="s">
        <v>228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32.25" customHeight="1" x14ac:dyDescent="0.25">
      <c r="A99" s="41">
        <v>298</v>
      </c>
      <c r="B99" s="3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32.25" customHeight="1" x14ac:dyDescent="0.25">
      <c r="A100" s="39">
        <v>300</v>
      </c>
      <c r="B100" s="38" t="s">
        <v>229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32.25" customHeight="1" x14ac:dyDescent="0.25">
      <c r="A101" s="39">
        <v>301</v>
      </c>
      <c r="B101" s="38" t="s">
        <v>230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s="167" customFormat="1" ht="32.25" customHeight="1" x14ac:dyDescent="0.25">
      <c r="A102" s="39">
        <v>302</v>
      </c>
      <c r="B102" s="3" t="s">
        <v>231</v>
      </c>
      <c r="C102" s="7"/>
      <c r="D102" s="7"/>
      <c r="E102" s="7" t="s">
        <v>376</v>
      </c>
      <c r="F102" s="7" t="s">
        <v>376</v>
      </c>
      <c r="G102" s="7" t="s">
        <v>376</v>
      </c>
      <c r="H102" s="7" t="s">
        <v>376</v>
      </c>
      <c r="I102" s="7" t="s">
        <v>376</v>
      </c>
      <c r="J102" s="7" t="s">
        <v>376</v>
      </c>
      <c r="K102" s="7" t="s">
        <v>376</v>
      </c>
      <c r="L102" s="7"/>
      <c r="M102" s="7"/>
    </row>
    <row r="103" spans="1:13" ht="32.25" customHeight="1" x14ac:dyDescent="0.25">
      <c r="A103" s="39">
        <v>303</v>
      </c>
      <c r="B103" s="38" t="s">
        <v>232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32.25" customHeight="1" x14ac:dyDescent="0.25">
      <c r="A104" s="42">
        <v>304</v>
      </c>
      <c r="B104" s="3" t="s">
        <v>233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32.25" customHeight="1" x14ac:dyDescent="0.25">
      <c r="A105" s="42">
        <v>305</v>
      </c>
      <c r="B105" s="3" t="s">
        <v>234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32.25" customHeight="1" x14ac:dyDescent="0.25">
      <c r="A106" s="39">
        <v>306</v>
      </c>
      <c r="B106" s="3" t="s">
        <v>235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32.25" customHeight="1" x14ac:dyDescent="0.25">
      <c r="A107" s="39">
        <v>311</v>
      </c>
      <c r="B107" s="3" t="s">
        <v>236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32.25" customHeight="1" x14ac:dyDescent="0.25">
      <c r="A108" s="39">
        <v>312</v>
      </c>
      <c r="B108" s="3" t="s">
        <v>237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32.25" customHeight="1" x14ac:dyDescent="0.25">
      <c r="A109" s="39">
        <v>313</v>
      </c>
      <c r="B109" s="38" t="s">
        <v>238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32.25" customHeight="1" x14ac:dyDescent="0.25">
      <c r="A110" s="39">
        <v>314</v>
      </c>
      <c r="B110" s="3" t="s">
        <v>239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32.25" customHeight="1" x14ac:dyDescent="0.25">
      <c r="A111" s="39">
        <v>320</v>
      </c>
      <c r="B111" s="3" t="s">
        <v>240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32.25" customHeight="1" x14ac:dyDescent="0.25">
      <c r="A112" s="39">
        <v>330</v>
      </c>
      <c r="B112" s="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32.25" customHeight="1" x14ac:dyDescent="0.25">
      <c r="A113" s="39">
        <v>331</v>
      </c>
      <c r="B113" s="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32.25" customHeight="1" x14ac:dyDescent="0.25">
      <c r="A114" s="39">
        <v>332</v>
      </c>
      <c r="B114" s="3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32.25" customHeight="1" x14ac:dyDescent="0.25">
      <c r="A115" s="39">
        <v>333</v>
      </c>
      <c r="B115" s="3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32.25" customHeight="1" x14ac:dyDescent="0.25">
      <c r="A116" s="39">
        <v>334</v>
      </c>
      <c r="B116" s="3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32.25" customHeight="1" x14ac:dyDescent="0.25">
      <c r="A117" s="43" t="s">
        <v>241</v>
      </c>
      <c r="B117" s="43" t="s">
        <v>242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32.25" customHeight="1" x14ac:dyDescent="0.25">
      <c r="A118" s="43" t="s">
        <v>243</v>
      </c>
      <c r="B118" s="43" t="s">
        <v>244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</sheetData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A1:F22"/>
  <sheetViews>
    <sheetView zoomScale="80" zoomScaleNormal="80" workbookViewId="0">
      <selection activeCell="B6" sqref="B6"/>
    </sheetView>
  </sheetViews>
  <sheetFormatPr baseColWidth="10" defaultRowHeight="15" x14ac:dyDescent="0.25"/>
  <cols>
    <col min="1" max="1" width="12.5703125" bestFit="1" customWidth="1"/>
    <col min="2" max="2" width="14.7109375" bestFit="1" customWidth="1"/>
    <col min="3" max="3" width="18" customWidth="1"/>
    <col min="4" max="4" width="15.5703125" bestFit="1" customWidth="1"/>
    <col min="5" max="5" width="11.42578125" style="6"/>
  </cols>
  <sheetData>
    <row r="1" spans="1:6" s="24" customFormat="1" ht="24" customHeight="1" x14ac:dyDescent="0.25">
      <c r="A1" s="23" t="s">
        <v>66</v>
      </c>
      <c r="B1" s="23" t="s">
        <v>67</v>
      </c>
      <c r="C1" s="23" t="s">
        <v>68</v>
      </c>
      <c r="D1" s="23" t="s">
        <v>54</v>
      </c>
      <c r="E1" s="23" t="s">
        <v>69</v>
      </c>
      <c r="F1" s="23" t="s">
        <v>70</v>
      </c>
    </row>
    <row r="2" spans="1:6" ht="24" customHeight="1" x14ac:dyDescent="0.25">
      <c r="A2" s="7" t="s">
        <v>71</v>
      </c>
      <c r="B2" s="7" t="s">
        <v>72</v>
      </c>
      <c r="C2" s="7" t="s">
        <v>73</v>
      </c>
      <c r="D2" s="7" t="s">
        <v>74</v>
      </c>
      <c r="E2" s="7" t="s">
        <v>75</v>
      </c>
      <c r="F2" s="7"/>
    </row>
    <row r="3" spans="1:6" ht="24" customHeight="1" x14ac:dyDescent="0.25">
      <c r="A3" s="7" t="s">
        <v>76</v>
      </c>
      <c r="B3" s="7" t="s">
        <v>72</v>
      </c>
      <c r="C3" s="7" t="s">
        <v>73</v>
      </c>
      <c r="D3" s="7" t="s">
        <v>74</v>
      </c>
      <c r="E3" s="7" t="s">
        <v>75</v>
      </c>
      <c r="F3" s="7"/>
    </row>
    <row r="4" spans="1:6" ht="24" customHeight="1" x14ac:dyDescent="0.25">
      <c r="A4" s="7" t="s">
        <v>77</v>
      </c>
      <c r="B4" s="7" t="s">
        <v>72</v>
      </c>
      <c r="C4" s="7" t="s">
        <v>73</v>
      </c>
      <c r="D4" s="7" t="s">
        <v>74</v>
      </c>
      <c r="E4" s="7" t="s">
        <v>78</v>
      </c>
      <c r="F4" s="7"/>
    </row>
    <row r="5" spans="1:6" ht="24" customHeight="1" x14ac:dyDescent="0.25">
      <c r="A5" s="7" t="s">
        <v>79</v>
      </c>
      <c r="B5" s="7" t="s">
        <v>72</v>
      </c>
      <c r="C5" s="7" t="s">
        <v>73</v>
      </c>
      <c r="D5" s="7" t="s">
        <v>74</v>
      </c>
      <c r="E5" s="7" t="s">
        <v>78</v>
      </c>
      <c r="F5" s="7"/>
    </row>
    <row r="6" spans="1:6" ht="24" customHeight="1" x14ac:dyDescent="0.25">
      <c r="A6" s="7" t="s">
        <v>80</v>
      </c>
      <c r="B6" s="7" t="s">
        <v>72</v>
      </c>
      <c r="C6" s="7" t="s">
        <v>73</v>
      </c>
      <c r="D6" s="7" t="s">
        <v>74</v>
      </c>
      <c r="E6" s="7" t="s">
        <v>81</v>
      </c>
      <c r="F6" s="7"/>
    </row>
    <row r="7" spans="1:6" ht="24" customHeight="1" x14ac:dyDescent="0.25">
      <c r="A7" s="7" t="s">
        <v>82</v>
      </c>
      <c r="B7" s="7" t="s">
        <v>83</v>
      </c>
      <c r="C7" s="7" t="s">
        <v>73</v>
      </c>
      <c r="D7" s="7" t="s">
        <v>84</v>
      </c>
      <c r="E7" s="7" t="s">
        <v>85</v>
      </c>
      <c r="F7" s="7"/>
    </row>
    <row r="8" spans="1:6" ht="24" customHeight="1" x14ac:dyDescent="0.25">
      <c r="A8" s="7" t="s">
        <v>86</v>
      </c>
      <c r="B8" s="7" t="s">
        <v>87</v>
      </c>
      <c r="C8" s="7" t="s">
        <v>88</v>
      </c>
      <c r="D8" s="7" t="s">
        <v>89</v>
      </c>
      <c r="E8" s="7" t="s">
        <v>98</v>
      </c>
      <c r="F8" s="7"/>
    </row>
    <row r="9" spans="1:6" ht="24" customHeight="1" x14ac:dyDescent="0.25">
      <c r="A9" s="7" t="s">
        <v>90</v>
      </c>
      <c r="B9" s="7" t="s">
        <v>87</v>
      </c>
      <c r="C9" s="7" t="s">
        <v>88</v>
      </c>
      <c r="D9" s="7" t="s">
        <v>89</v>
      </c>
      <c r="E9" s="7" t="s">
        <v>91</v>
      </c>
      <c r="F9" s="7"/>
    </row>
    <row r="10" spans="1:6" ht="24" customHeight="1" x14ac:dyDescent="0.25">
      <c r="A10" s="7" t="s">
        <v>92</v>
      </c>
      <c r="B10" s="7" t="s">
        <v>87</v>
      </c>
      <c r="C10" s="7" t="s">
        <v>88</v>
      </c>
      <c r="D10" s="7" t="s">
        <v>89</v>
      </c>
      <c r="E10" s="7" t="s">
        <v>98</v>
      </c>
      <c r="F10" s="7"/>
    </row>
    <row r="11" spans="1:6" ht="24" customHeight="1" x14ac:dyDescent="0.25">
      <c r="A11" s="7" t="s">
        <v>93</v>
      </c>
      <c r="B11" s="7"/>
      <c r="C11" s="7"/>
      <c r="D11" s="7"/>
      <c r="E11" s="7"/>
      <c r="F11" s="7"/>
    </row>
    <row r="12" spans="1:6" ht="24" customHeight="1" x14ac:dyDescent="0.25">
      <c r="A12" s="7" t="s">
        <v>94</v>
      </c>
      <c r="B12" s="7"/>
      <c r="C12" s="7"/>
      <c r="D12" s="7"/>
      <c r="E12" s="7"/>
      <c r="F12" s="7"/>
    </row>
    <row r="13" spans="1:6" ht="24" customHeight="1" x14ac:dyDescent="0.25">
      <c r="A13" s="7" t="s">
        <v>95</v>
      </c>
      <c r="B13" s="7" t="s">
        <v>72</v>
      </c>
      <c r="C13" s="7" t="s">
        <v>73</v>
      </c>
      <c r="D13" s="7" t="s">
        <v>74</v>
      </c>
      <c r="E13" s="7" t="s">
        <v>98</v>
      </c>
      <c r="F13" s="7"/>
    </row>
    <row r="14" spans="1:6" ht="24" customHeight="1" x14ac:dyDescent="0.25">
      <c r="A14" s="7" t="s">
        <v>96</v>
      </c>
      <c r="B14" s="7" t="s">
        <v>72</v>
      </c>
      <c r="C14" s="7" t="s">
        <v>73</v>
      </c>
      <c r="D14" s="7" t="s">
        <v>74</v>
      </c>
      <c r="E14" s="7" t="s">
        <v>75</v>
      </c>
      <c r="F14" s="7"/>
    </row>
    <row r="15" spans="1:6" ht="24" customHeight="1" x14ac:dyDescent="0.25">
      <c r="A15" s="7" t="s">
        <v>97</v>
      </c>
      <c r="B15" s="7" t="s">
        <v>72</v>
      </c>
      <c r="C15" s="7" t="s">
        <v>73</v>
      </c>
      <c r="D15" s="7" t="s">
        <v>74</v>
      </c>
      <c r="E15" s="7" t="s">
        <v>98</v>
      </c>
      <c r="F15" s="7"/>
    </row>
    <row r="16" spans="1:6" ht="24" customHeight="1" x14ac:dyDescent="0.25">
      <c r="A16" s="7" t="s">
        <v>99</v>
      </c>
      <c r="B16" s="7" t="s">
        <v>87</v>
      </c>
      <c r="C16" s="7" t="s">
        <v>88</v>
      </c>
      <c r="D16" s="7" t="s">
        <v>89</v>
      </c>
      <c r="E16" s="7" t="s">
        <v>100</v>
      </c>
      <c r="F16" s="7"/>
    </row>
    <row r="17" spans="1:6" ht="24" customHeight="1" x14ac:dyDescent="0.25">
      <c r="A17" s="7" t="s">
        <v>101</v>
      </c>
      <c r="B17" s="7" t="s">
        <v>83</v>
      </c>
      <c r="C17" s="7" t="s">
        <v>73</v>
      </c>
      <c r="D17" s="7" t="s">
        <v>84</v>
      </c>
      <c r="E17" s="7" t="s">
        <v>100</v>
      </c>
      <c r="F17" s="7"/>
    </row>
    <row r="18" spans="1:6" ht="24" customHeight="1" x14ac:dyDescent="0.25">
      <c r="A18" s="7" t="s">
        <v>102</v>
      </c>
      <c r="B18" s="7" t="s">
        <v>72</v>
      </c>
      <c r="C18" s="7" t="s">
        <v>73</v>
      </c>
      <c r="D18" s="7" t="s">
        <v>74</v>
      </c>
      <c r="E18" s="7" t="s">
        <v>103</v>
      </c>
      <c r="F18" s="7"/>
    </row>
    <row r="19" spans="1:6" ht="24" customHeight="1" x14ac:dyDescent="0.25">
      <c r="A19" s="7" t="s">
        <v>104</v>
      </c>
      <c r="B19" s="7"/>
      <c r="C19" s="7"/>
      <c r="D19" s="7"/>
      <c r="E19" s="7" t="s">
        <v>85</v>
      </c>
      <c r="F19" s="7"/>
    </row>
    <row r="20" spans="1:6" ht="24" customHeight="1" x14ac:dyDescent="0.25">
      <c r="A20" s="7" t="s">
        <v>105</v>
      </c>
      <c r="B20" s="7"/>
      <c r="C20" s="7"/>
      <c r="D20" s="7"/>
      <c r="E20" s="7"/>
      <c r="F20" s="7"/>
    </row>
    <row r="21" spans="1:6" ht="24" customHeight="1" x14ac:dyDescent="0.25">
      <c r="A21" s="7" t="s">
        <v>106</v>
      </c>
      <c r="B21" s="7"/>
      <c r="C21" s="7"/>
      <c r="D21" s="7"/>
      <c r="E21" s="7" t="s">
        <v>85</v>
      </c>
      <c r="F21" s="7"/>
    </row>
    <row r="22" spans="1:6" ht="24" customHeight="1" x14ac:dyDescent="0.25">
      <c r="A22" s="7" t="s">
        <v>107</v>
      </c>
      <c r="B22" s="7"/>
      <c r="C22" s="7"/>
      <c r="D22" s="7"/>
      <c r="E22" s="7" t="s">
        <v>108</v>
      </c>
      <c r="F22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zoomScale="70" zoomScaleNormal="70" workbookViewId="0">
      <selection activeCell="J11" sqref="J11"/>
    </sheetView>
  </sheetViews>
  <sheetFormatPr baseColWidth="10" defaultColWidth="11.42578125" defaultRowHeight="15" x14ac:dyDescent="0.25"/>
  <cols>
    <col min="1" max="1" width="25.5703125" style="12" customWidth="1"/>
    <col min="2" max="2" width="22.28515625" style="12" bestFit="1" customWidth="1"/>
    <col min="3" max="3" width="21" style="12" bestFit="1" customWidth="1"/>
    <col min="4" max="4" width="6.42578125" style="12" bestFit="1" customWidth="1"/>
    <col min="5" max="5" width="21.42578125" style="12" bestFit="1" customWidth="1"/>
    <col min="6" max="6" width="6.42578125" style="12" bestFit="1" customWidth="1"/>
    <col min="7" max="7" width="28.85546875" style="12" bestFit="1" customWidth="1"/>
    <col min="8" max="8" width="26.85546875" style="12" customWidth="1"/>
    <col min="9" max="16384" width="11.42578125" style="12"/>
  </cols>
  <sheetData>
    <row r="1" spans="1:8" ht="15.75" thickBot="1" x14ac:dyDescent="0.3"/>
    <row r="2" spans="1:8" s="24" customFormat="1" ht="33" customHeight="1" x14ac:dyDescent="0.25">
      <c r="A2" s="23" t="s">
        <v>66</v>
      </c>
      <c r="B2" s="25" t="s">
        <v>109</v>
      </c>
      <c r="C2" s="30" t="s">
        <v>110</v>
      </c>
      <c r="D2" s="31" t="s">
        <v>111</v>
      </c>
      <c r="E2" s="30" t="s">
        <v>130</v>
      </c>
      <c r="F2" s="31" t="s">
        <v>111</v>
      </c>
      <c r="G2" s="27" t="s">
        <v>112</v>
      </c>
      <c r="H2" s="23" t="s">
        <v>64</v>
      </c>
    </row>
    <row r="3" spans="1:8" ht="33" customHeight="1" x14ac:dyDescent="0.25">
      <c r="A3" s="22" t="s">
        <v>71</v>
      </c>
      <c r="B3" s="26" t="s">
        <v>113</v>
      </c>
      <c r="C3" s="32">
        <v>17420</v>
      </c>
      <c r="D3" s="33">
        <v>2</v>
      </c>
      <c r="E3" s="32"/>
      <c r="F3" s="33"/>
      <c r="G3" s="28" t="s">
        <v>114</v>
      </c>
      <c r="H3" s="7"/>
    </row>
    <row r="4" spans="1:8" ht="33" customHeight="1" x14ac:dyDescent="0.25">
      <c r="A4" s="22" t="s">
        <v>76</v>
      </c>
      <c r="B4" s="26" t="s">
        <v>115</v>
      </c>
      <c r="C4" s="32" t="s">
        <v>116</v>
      </c>
      <c r="D4" s="33">
        <v>2</v>
      </c>
      <c r="E4" s="32"/>
      <c r="F4" s="33"/>
      <c r="G4" s="28" t="s">
        <v>117</v>
      </c>
      <c r="H4" s="7"/>
    </row>
    <row r="5" spans="1:8" ht="33" customHeight="1" x14ac:dyDescent="0.25">
      <c r="A5" s="22" t="s">
        <v>118</v>
      </c>
      <c r="B5" s="26" t="s">
        <v>119</v>
      </c>
      <c r="C5" s="32" t="s">
        <v>117</v>
      </c>
      <c r="D5" s="33">
        <v>2</v>
      </c>
      <c r="E5" s="32"/>
      <c r="F5" s="33"/>
      <c r="G5" s="28" t="s">
        <v>120</v>
      </c>
      <c r="H5" s="7" t="s">
        <v>121</v>
      </c>
    </row>
    <row r="6" spans="1:8" ht="33" customHeight="1" x14ac:dyDescent="0.25">
      <c r="A6" s="22" t="s">
        <v>122</v>
      </c>
      <c r="B6" s="26" t="s">
        <v>113</v>
      </c>
      <c r="C6" s="32"/>
      <c r="D6" s="33"/>
      <c r="E6" s="32"/>
      <c r="F6" s="33"/>
      <c r="G6" s="28" t="s">
        <v>123</v>
      </c>
      <c r="H6" s="7" t="s">
        <v>121</v>
      </c>
    </row>
    <row r="7" spans="1:8" ht="33" customHeight="1" x14ac:dyDescent="0.25">
      <c r="A7" s="22" t="s">
        <v>79</v>
      </c>
      <c r="B7" s="26"/>
      <c r="C7" s="32" t="s">
        <v>124</v>
      </c>
      <c r="D7" s="33">
        <v>1</v>
      </c>
      <c r="E7" s="32" t="s">
        <v>131</v>
      </c>
      <c r="F7" s="33">
        <v>2</v>
      </c>
      <c r="G7" s="28" t="s">
        <v>125</v>
      </c>
      <c r="H7" s="7"/>
    </row>
    <row r="8" spans="1:8" ht="33" customHeight="1" x14ac:dyDescent="0.25">
      <c r="A8" s="22" t="s">
        <v>80</v>
      </c>
      <c r="B8" s="26"/>
      <c r="C8" s="32"/>
      <c r="D8" s="33"/>
      <c r="E8" s="32"/>
      <c r="F8" s="33"/>
      <c r="G8" s="28"/>
      <c r="H8" s="7"/>
    </row>
    <row r="9" spans="1:8" ht="33" customHeight="1" x14ac:dyDescent="0.25">
      <c r="A9" s="22" t="s">
        <v>82</v>
      </c>
      <c r="B9" s="26"/>
      <c r="C9" s="32"/>
      <c r="D9" s="33"/>
      <c r="E9" s="32"/>
      <c r="F9" s="33"/>
      <c r="G9" s="28"/>
      <c r="H9" s="7"/>
    </row>
    <row r="10" spans="1:8" ht="33" customHeight="1" x14ac:dyDescent="0.25">
      <c r="A10" s="22" t="s">
        <v>86</v>
      </c>
      <c r="B10" s="26"/>
      <c r="C10" s="32"/>
      <c r="D10" s="33"/>
      <c r="E10" s="32"/>
      <c r="F10" s="33"/>
      <c r="G10" s="28"/>
      <c r="H10" s="7"/>
    </row>
    <row r="11" spans="1:8" ht="33" customHeight="1" x14ac:dyDescent="0.25">
      <c r="A11" s="22" t="s">
        <v>90</v>
      </c>
      <c r="B11" s="26"/>
      <c r="C11" s="32"/>
      <c r="D11" s="33"/>
      <c r="E11" s="32"/>
      <c r="F11" s="33"/>
      <c r="G11" s="28"/>
      <c r="H11" s="7"/>
    </row>
    <row r="12" spans="1:8" ht="33" customHeight="1" x14ac:dyDescent="0.25">
      <c r="A12" s="22" t="s">
        <v>92</v>
      </c>
      <c r="B12" s="26"/>
      <c r="C12" s="32"/>
      <c r="D12" s="33"/>
      <c r="E12" s="32"/>
      <c r="F12" s="33"/>
      <c r="G12" s="28"/>
      <c r="H12" s="7"/>
    </row>
    <row r="13" spans="1:8" ht="33" customHeight="1" x14ac:dyDescent="0.25">
      <c r="A13" s="22" t="s">
        <v>93</v>
      </c>
      <c r="B13" s="26"/>
      <c r="C13" s="32"/>
      <c r="D13" s="33"/>
      <c r="E13" s="32"/>
      <c r="F13" s="33"/>
      <c r="G13" s="28"/>
      <c r="H13" s="7"/>
    </row>
    <row r="14" spans="1:8" ht="33" customHeight="1" x14ac:dyDescent="0.25">
      <c r="A14" s="22" t="s">
        <v>94</v>
      </c>
      <c r="B14" s="26"/>
      <c r="C14" s="32"/>
      <c r="D14" s="33"/>
      <c r="E14" s="32"/>
      <c r="F14" s="33"/>
      <c r="G14" s="28"/>
      <c r="H14" s="7"/>
    </row>
    <row r="15" spans="1:8" ht="33" customHeight="1" x14ac:dyDescent="0.25">
      <c r="A15" s="22" t="s">
        <v>95</v>
      </c>
      <c r="B15" s="26"/>
      <c r="C15" s="32"/>
      <c r="D15" s="33"/>
      <c r="E15" s="32"/>
      <c r="F15" s="33"/>
      <c r="G15" s="28"/>
      <c r="H15" s="7" t="s">
        <v>126</v>
      </c>
    </row>
    <row r="16" spans="1:8" ht="33" customHeight="1" x14ac:dyDescent="0.25">
      <c r="A16" s="22" t="s">
        <v>96</v>
      </c>
      <c r="B16" s="26"/>
      <c r="C16" s="32">
        <v>17440</v>
      </c>
      <c r="D16" s="33">
        <v>2</v>
      </c>
      <c r="E16" s="32"/>
      <c r="F16" s="33"/>
      <c r="G16" s="28"/>
      <c r="H16" s="7"/>
    </row>
    <row r="17" spans="1:8" ht="33" customHeight="1" x14ac:dyDescent="0.25">
      <c r="A17" s="22" t="s">
        <v>97</v>
      </c>
      <c r="B17" s="26"/>
      <c r="C17" s="32" t="s">
        <v>127</v>
      </c>
      <c r="D17" s="33">
        <v>1</v>
      </c>
      <c r="E17" s="32"/>
      <c r="F17" s="33"/>
      <c r="G17" s="28" t="s">
        <v>125</v>
      </c>
      <c r="H17" s="7"/>
    </row>
    <row r="18" spans="1:8" ht="33" customHeight="1" x14ac:dyDescent="0.25">
      <c r="A18" s="22" t="s">
        <v>99</v>
      </c>
      <c r="B18" s="26"/>
      <c r="C18" s="32"/>
      <c r="D18" s="33"/>
      <c r="E18" s="32"/>
      <c r="F18" s="33"/>
      <c r="G18" s="28"/>
      <c r="H18" s="7"/>
    </row>
    <row r="19" spans="1:8" ht="33" customHeight="1" x14ac:dyDescent="0.25">
      <c r="A19" s="22" t="s">
        <v>101</v>
      </c>
      <c r="B19" s="26"/>
      <c r="C19" s="32"/>
      <c r="D19" s="33"/>
      <c r="E19" s="32"/>
      <c r="F19" s="33"/>
      <c r="G19" s="28"/>
      <c r="H19" s="7"/>
    </row>
    <row r="20" spans="1:8" ht="33" customHeight="1" x14ac:dyDescent="0.25">
      <c r="A20" s="22" t="s">
        <v>102</v>
      </c>
      <c r="B20" s="26"/>
      <c r="C20" s="32"/>
      <c r="D20" s="33"/>
      <c r="E20" s="32"/>
      <c r="F20" s="33"/>
      <c r="G20" s="28"/>
      <c r="H20" s="7" t="s">
        <v>128</v>
      </c>
    </row>
    <row r="21" spans="1:8" ht="33" customHeight="1" x14ac:dyDescent="0.25">
      <c r="A21" s="22" t="s">
        <v>104</v>
      </c>
      <c r="B21" s="26"/>
      <c r="C21" s="32"/>
      <c r="D21" s="33"/>
      <c r="E21" s="32"/>
      <c r="F21" s="33"/>
      <c r="G21" s="28"/>
      <c r="H21" s="7"/>
    </row>
    <row r="22" spans="1:8" ht="33" customHeight="1" x14ac:dyDescent="0.25">
      <c r="A22" s="22" t="s">
        <v>105</v>
      </c>
      <c r="B22" s="26"/>
      <c r="C22" s="32"/>
      <c r="D22" s="33"/>
      <c r="E22" s="32"/>
      <c r="F22" s="33"/>
      <c r="G22" s="28"/>
      <c r="H22" s="7"/>
    </row>
    <row r="23" spans="1:8" ht="33" customHeight="1" thickBot="1" x14ac:dyDescent="0.3">
      <c r="A23" s="22" t="s">
        <v>106</v>
      </c>
      <c r="B23" s="26"/>
      <c r="C23" s="34"/>
      <c r="D23" s="35"/>
      <c r="E23" s="34"/>
      <c r="F23" s="35"/>
      <c r="G23" s="28"/>
      <c r="H23" s="7"/>
    </row>
    <row r="24" spans="1:8" ht="33" customHeight="1" x14ac:dyDescent="0.25">
      <c r="A24" s="22" t="s">
        <v>107</v>
      </c>
      <c r="B24" s="7"/>
      <c r="C24" s="29"/>
      <c r="D24" s="29"/>
      <c r="E24" s="29"/>
      <c r="F24" s="29"/>
      <c r="G24" s="7"/>
      <c r="H24" s="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INSTRUCTIVO </vt:lpstr>
      <vt:lpstr>MTTO PREVENTIVO</vt:lpstr>
      <vt:lpstr>CAUCHOS BUSES </vt:lpstr>
      <vt:lpstr>BATERIAS </vt:lpstr>
      <vt:lpstr>BANDAS </vt:lpstr>
      <vt:lpstr>CORREAS </vt:lpstr>
      <vt:lpstr>IMPREMENTOS </vt:lpstr>
      <vt:lpstr>TIPOS DE ACEITE </vt:lpstr>
      <vt:lpstr>TIPOS DE CORREAS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VELASQUEZ</dc:creator>
  <cp:lastModifiedBy>clavellino clavellino</cp:lastModifiedBy>
  <cp:lastPrinted>2025-02-20T15:04:41Z</cp:lastPrinted>
  <dcterms:created xsi:type="dcterms:W3CDTF">2025-01-15T13:45:06Z</dcterms:created>
  <dcterms:modified xsi:type="dcterms:W3CDTF">2026-04-16T18:47:32Z</dcterms:modified>
</cp:coreProperties>
</file>