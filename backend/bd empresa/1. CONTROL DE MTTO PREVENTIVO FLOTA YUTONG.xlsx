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clave\OneDrive\Desktop\CONTROL DE MTTO\"/>
    </mc:Choice>
  </mc:AlternateContent>
  <xr:revisionPtr revIDLastSave="0" documentId="13_ncr:1_{D99CF041-60D1-4AB1-B6B0-10BD32844F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TTO PREVENTIVO 5000kl " sheetId="11" r:id="rId1"/>
    <sheet name="BATERIAS " sheetId="2" r:id="rId2"/>
    <sheet name="CAUCHOS SENCILLO  " sheetId="5" r:id="rId3"/>
    <sheet name="BANDAS " sheetId="6" r:id="rId4"/>
    <sheet name="CORREAS " sheetId="7" r:id="rId5"/>
    <sheet name="IMPREMENTOS " sheetId="10" r:id="rId6"/>
    <sheet name="TIPOS DE ACEITE " sheetId="8" r:id="rId7"/>
    <sheet name="TIPOS DE CORREAS" sheetId="9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1" l="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4" i="11"/>
  <c r="L4" i="11"/>
  <c r="U4" i="11"/>
  <c r="G4" i="11"/>
  <c r="F4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G19" i="11"/>
  <c r="G25" i="11" l="1"/>
  <c r="U25" i="11"/>
  <c r="G26" i="11"/>
  <c r="U26" i="11"/>
  <c r="G27" i="11"/>
  <c r="U27" i="11"/>
  <c r="G28" i="11"/>
  <c r="U28" i="11"/>
  <c r="G29" i="11"/>
  <c r="U29" i="11"/>
  <c r="G30" i="11"/>
  <c r="U30" i="11"/>
  <c r="G5" i="11" l="1"/>
  <c r="F5" i="11" l="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6" i="11"/>
  <c r="U7" i="11"/>
  <c r="U5" i="11"/>
  <c r="G6" i="11"/>
  <c r="G7" i="11"/>
  <c r="G8" i="11"/>
  <c r="G9" i="11"/>
  <c r="G11" i="11"/>
  <c r="G12" i="11"/>
  <c r="G13" i="11"/>
  <c r="G14" i="11"/>
  <c r="G15" i="11"/>
  <c r="G16" i="11"/>
  <c r="G17" i="11"/>
  <c r="G18" i="11"/>
  <c r="G20" i="11"/>
  <c r="G21" i="11"/>
  <c r="G22" i="11"/>
  <c r="G23" i="11"/>
  <c r="G24" i="11"/>
  <c r="AD16" i="5" l="1"/>
  <c r="Y16" i="5"/>
  <c r="S16" i="5"/>
  <c r="M16" i="5"/>
  <c r="G16" i="5"/>
  <c r="AD5" i="5"/>
  <c r="AD6" i="5"/>
  <c r="AD7" i="5"/>
  <c r="AD8" i="5"/>
  <c r="AD9" i="5"/>
  <c r="AD10" i="5"/>
  <c r="AD11" i="5"/>
  <c r="AD12" i="5"/>
  <c r="AD13" i="5"/>
  <c r="AD14" i="5"/>
  <c r="AD15" i="5"/>
  <c r="AD4" i="5"/>
  <c r="Y14" i="5"/>
  <c r="Y15" i="5"/>
  <c r="S14" i="5"/>
  <c r="S15" i="5"/>
  <c r="M14" i="5"/>
  <c r="M15" i="5"/>
  <c r="G14" i="5"/>
  <c r="G15" i="5"/>
  <c r="Y5" i="5"/>
  <c r="Y6" i="5"/>
  <c r="Y7" i="5"/>
  <c r="Y8" i="5"/>
  <c r="Y9" i="5"/>
  <c r="Y10" i="5"/>
  <c r="Y11" i="5"/>
  <c r="Y12" i="5"/>
  <c r="Y13" i="5"/>
  <c r="S5" i="5"/>
  <c r="S6" i="5"/>
  <c r="S7" i="5"/>
  <c r="S8" i="5"/>
  <c r="S9" i="5"/>
  <c r="S10" i="5"/>
  <c r="S11" i="5"/>
  <c r="S12" i="5"/>
  <c r="S13" i="5"/>
  <c r="M5" i="5"/>
  <c r="M6" i="5"/>
  <c r="M7" i="5"/>
  <c r="M8" i="5"/>
  <c r="M9" i="5"/>
  <c r="M10" i="5"/>
  <c r="M11" i="5"/>
  <c r="M12" i="5"/>
  <c r="M13" i="5"/>
  <c r="G5" i="5"/>
  <c r="G6" i="5"/>
  <c r="G7" i="5"/>
  <c r="G8" i="5"/>
  <c r="G9" i="5"/>
  <c r="G10" i="5"/>
  <c r="G11" i="5"/>
  <c r="G12" i="5"/>
  <c r="G13" i="5"/>
  <c r="Y4" i="5"/>
  <c r="S4" i="5"/>
  <c r="M4" i="5"/>
  <c r="G4" i="5"/>
</calcChain>
</file>

<file path=xl/sharedStrings.xml><?xml version="1.0" encoding="utf-8"?>
<sst xmlns="http://schemas.openxmlformats.org/spreadsheetml/2006/main" count="304" uniqueCount="96">
  <si>
    <t>N°</t>
  </si>
  <si>
    <t>PLACAS</t>
  </si>
  <si>
    <t xml:space="preserve">KM ACTUAL </t>
  </si>
  <si>
    <t>RECORRIDO</t>
  </si>
  <si>
    <t xml:space="preserve">KM ULTIMO CAMBIO </t>
  </si>
  <si>
    <t>FECHA</t>
  </si>
  <si>
    <t xml:space="preserve">KM PROX CAMBIO </t>
  </si>
  <si>
    <t xml:space="preserve">FECHA </t>
  </si>
  <si>
    <t xml:space="preserve">ROTACION DE CAUCHO </t>
  </si>
  <si>
    <t xml:space="preserve">KM ULTIMA ROTACION </t>
  </si>
  <si>
    <t xml:space="preserve">KM PROX ROTACION </t>
  </si>
  <si>
    <t>KM DEL CHEQUEO</t>
  </si>
  <si>
    <t xml:space="preserve">KM ULTIMO SERVICIO </t>
  </si>
  <si>
    <t xml:space="preserve">KM PROX SERVICIO </t>
  </si>
  <si>
    <t xml:space="preserve">LAVADO DE MOTOR Y CHASIS </t>
  </si>
  <si>
    <t>SERIAL</t>
  </si>
  <si>
    <t>AMP</t>
  </si>
  <si>
    <t>MARCA</t>
  </si>
  <si>
    <t xml:space="preserve">KM DE CAMBIO </t>
  </si>
  <si>
    <t xml:space="preserve">AÑO </t>
  </si>
  <si>
    <t>CODIGO</t>
  </si>
  <si>
    <t xml:space="preserve">CHOFER </t>
  </si>
  <si>
    <t>COPILOTO</t>
  </si>
  <si>
    <t>CHOFER</t>
  </si>
  <si>
    <t>DELANTERA</t>
  </si>
  <si>
    <t>CONTROL DE BATERIAS</t>
  </si>
  <si>
    <t xml:space="preserve"> TRASERA </t>
  </si>
  <si>
    <t xml:space="preserve">TRASERA </t>
  </si>
  <si>
    <t>ACEITE  Y FILTRO</t>
  </si>
  <si>
    <t>FILTRO DE AIRE MOTOR</t>
  </si>
  <si>
    <t xml:space="preserve">ESTADO </t>
  </si>
  <si>
    <t xml:space="preserve">FECHA VENCIMIENTO GARANTIA  </t>
  </si>
  <si>
    <t xml:space="preserve">MARCA </t>
  </si>
  <si>
    <t>ESTADO</t>
  </si>
  <si>
    <t xml:space="preserve">KM  ULTIMO CAMBIO  </t>
  </si>
  <si>
    <t>ESTADO DE BANDAS / PASTILLAS  DELANTERAS PILOTO</t>
  </si>
  <si>
    <t>ESTADO DE BANDAS / PASTILLAS  DELANTERAS COPILOTO</t>
  </si>
  <si>
    <t>ESTADO DE BANDAS /PASTILLAS  TRASERAS   PILOTO</t>
  </si>
  <si>
    <t>ESTADO DE BANDAS / PASTILLAS  TRASERAS COPILOTO</t>
  </si>
  <si>
    <t>CORREA DE LA PLANTA</t>
  </si>
  <si>
    <t>CORREAS DE MOTOR</t>
  </si>
  <si>
    <t>CORREAS DEL COMPRESOR A/A</t>
  </si>
  <si>
    <t xml:space="preserve">CORREA UNICA </t>
  </si>
  <si>
    <t>UNIDAD</t>
  </si>
  <si>
    <t>ACEITE</t>
  </si>
  <si>
    <t xml:space="preserve">NOMENCLATURA </t>
  </si>
  <si>
    <t xml:space="preserve">CANTIDAD </t>
  </si>
  <si>
    <t>FILTRO</t>
  </si>
  <si>
    <t xml:space="preserve">CORREA DE LA PLANTA </t>
  </si>
  <si>
    <t xml:space="preserve">CORREAS DE  MOTOR </t>
  </si>
  <si>
    <t xml:space="preserve">CANT </t>
  </si>
  <si>
    <t>CORREA DEL COMPRESOR A/A</t>
  </si>
  <si>
    <t xml:space="preserve"> CORREA FAN CLUTCH</t>
  </si>
  <si>
    <t xml:space="preserve">FECHA DE COMPRA </t>
  </si>
  <si>
    <t xml:space="preserve"> ULTIMO  CHEQUEO</t>
  </si>
  <si>
    <t xml:space="preserve">TITULO </t>
  </si>
  <si>
    <t xml:space="preserve">POLIZA </t>
  </si>
  <si>
    <t>AUTORIZACION</t>
  </si>
  <si>
    <t xml:space="preserve">EXTINTOR </t>
  </si>
  <si>
    <t xml:space="preserve">CAUCHO DE REPUESTO </t>
  </si>
  <si>
    <t>CAUCHO DE REPUESTO</t>
  </si>
  <si>
    <t xml:space="preserve">TRIANGULO </t>
  </si>
  <si>
    <t xml:space="preserve">GATO </t>
  </si>
  <si>
    <t>LLAVE DE RUEDA</t>
  </si>
  <si>
    <t xml:space="preserve">PALANCA </t>
  </si>
  <si>
    <t xml:space="preserve">MANIVELA </t>
  </si>
  <si>
    <t xml:space="preserve">CONTROL DE IMPLEMENTOS </t>
  </si>
  <si>
    <t>PIMPINA</t>
  </si>
  <si>
    <t>AD171BF</t>
  </si>
  <si>
    <t>AD173BF</t>
  </si>
  <si>
    <t>AD174BF</t>
  </si>
  <si>
    <t>AD176BF</t>
  </si>
  <si>
    <t>AD178BF</t>
  </si>
  <si>
    <t>AD179BF</t>
  </si>
  <si>
    <t>AB613GH</t>
  </si>
  <si>
    <t>AB617GH</t>
  </si>
  <si>
    <t>AB614LH</t>
  </si>
  <si>
    <t>AB616LH</t>
  </si>
  <si>
    <t>AB042DH</t>
  </si>
  <si>
    <t>AB046DH</t>
  </si>
  <si>
    <t>GREENTRAC</t>
  </si>
  <si>
    <t>235/65/R16C</t>
  </si>
  <si>
    <t>BRIDGESTONE</t>
  </si>
  <si>
    <t>COMPASAL VANMAX</t>
  </si>
  <si>
    <t>215/75/R16C</t>
  </si>
  <si>
    <t>YOKOHAMA</t>
  </si>
  <si>
    <t>CHAO YANG</t>
  </si>
  <si>
    <t>195/95/R15</t>
  </si>
  <si>
    <t>DELINTE</t>
  </si>
  <si>
    <t>APLUS</t>
  </si>
  <si>
    <t xml:space="preserve"> 215/70R15C.</t>
  </si>
  <si>
    <t>FILTRO  DE COMBUSTIBLE</t>
  </si>
  <si>
    <t>SEDE</t>
  </si>
  <si>
    <t>MODELO</t>
  </si>
  <si>
    <t>ZH6138H</t>
  </si>
  <si>
    <t>ZK6907H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</si>
</sst>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name val="Arial"/>
      <family val="2"/>
    </font>
    <font>
      <sz val="16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protection locked="0"/>
    </xf>
  </cellStyleXfs>
  <cellXfs count="17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0" borderId="1" xfId="0" applyFill="1" applyBorder="1"/>
    <xf numFmtId="0" fontId="0" fillId="2" borderId="1" xfId="0" applyFill="1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0" borderId="0" xfId="0" applyFont="1"/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9" fillId="10" borderId="4" xfId="0" applyFont="1" applyFill="1" applyBorder="1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14" fontId="5" fillId="3" borderId="1" xfId="0" applyNumberFormat="1" applyFont="1" applyFill="1" applyBorder="1" applyProtection="1">
      <protection locked="0"/>
    </xf>
    <xf numFmtId="14" fontId="5" fillId="0" borderId="1" xfId="0" applyNumberFormat="1" applyFont="1" applyBorder="1" applyAlignment="1" applyProtection="1">
      <alignment horizontal="center"/>
      <protection locked="0"/>
    </xf>
    <xf numFmtId="0" fontId="5" fillId="0" borderId="1" xfId="0" applyFont="1" applyBorder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3" fillId="3" borderId="13" xfId="0" applyFont="1" applyFill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0" xfId="0" applyFont="1"/>
    <xf numFmtId="0" fontId="3" fillId="3" borderId="13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/>
    <xf numFmtId="0" fontId="5" fillId="0" borderId="0" xfId="0" applyFont="1"/>
    <xf numFmtId="0" fontId="2" fillId="0" borderId="0" xfId="0" applyFont="1" applyProtection="1"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14" fontId="2" fillId="0" borderId="1" xfId="0" applyNumberFormat="1" applyFont="1" applyBorder="1" applyProtection="1"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2" fillId="7" borderId="0" xfId="0" applyFont="1" applyFill="1" applyProtection="1">
      <protection locked="0"/>
    </xf>
    <xf numFmtId="0" fontId="2" fillId="0" borderId="0" xfId="0" applyFont="1"/>
    <xf numFmtId="0" fontId="2" fillId="0" borderId="4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7" borderId="1" xfId="0" applyFont="1" applyFill="1" applyBorder="1" applyProtection="1"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/>
      <protection locked="0"/>
    </xf>
    <xf numFmtId="0" fontId="2" fillId="0" borderId="9" xfId="0" applyFont="1" applyBorder="1"/>
    <xf numFmtId="0" fontId="2" fillId="8" borderId="12" xfId="0" applyFont="1" applyFill="1" applyBorder="1"/>
    <xf numFmtId="0" fontId="2" fillId="8" borderId="4" xfId="0" applyFont="1" applyFill="1" applyBorder="1"/>
    <xf numFmtId="0" fontId="2" fillId="0" borderId="1" xfId="0" applyFont="1" applyBorder="1"/>
    <xf numFmtId="0" fontId="2" fillId="8" borderId="1" xfId="0" applyFont="1" applyFill="1" applyBorder="1"/>
    <xf numFmtId="0" fontId="7" fillId="5" borderId="1" xfId="0" applyFont="1" applyFill="1" applyBorder="1" applyAlignment="1" applyProtection="1">
      <alignment vertical="center"/>
      <protection locked="0"/>
    </xf>
    <xf numFmtId="0" fontId="7" fillId="9" borderId="1" xfId="0" applyFont="1" applyFill="1" applyBorder="1" applyAlignment="1" applyProtection="1">
      <alignment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7" fillId="6" borderId="1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14" fontId="0" fillId="2" borderId="1" xfId="0" applyNumberFormat="1" applyFill="1" applyBorder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 applyProtection="1">
      <alignment vertical="center"/>
      <protection locked="0"/>
    </xf>
    <xf numFmtId="0" fontId="6" fillId="10" borderId="1" xfId="0" applyFont="1" applyFill="1" applyBorder="1" applyAlignment="1">
      <alignment vertical="center"/>
    </xf>
    <xf numFmtId="0" fontId="6" fillId="10" borderId="0" xfId="0" applyFont="1" applyFill="1" applyProtection="1">
      <protection locked="0"/>
    </xf>
    <xf numFmtId="0" fontId="6" fillId="10" borderId="0" xfId="0" applyFont="1" applyFill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vertical="center"/>
      <protection locked="0"/>
    </xf>
    <xf numFmtId="14" fontId="6" fillId="10" borderId="1" xfId="0" applyNumberFormat="1" applyFont="1" applyFill="1" applyBorder="1" applyAlignment="1" applyProtection="1">
      <alignment horizontal="center" vertical="center" wrapText="1"/>
      <protection locked="0"/>
    </xf>
    <xf numFmtId="14" fontId="6" fillId="10" borderId="1" xfId="0" applyNumberFormat="1" applyFont="1" applyFill="1" applyBorder="1" applyAlignment="1" applyProtection="1">
      <alignment horizontal="center" vertical="center"/>
      <protection locked="0"/>
    </xf>
    <xf numFmtId="14" fontId="6" fillId="0" borderId="1" xfId="0" applyNumberFormat="1" applyFont="1" applyBorder="1" applyAlignment="1" applyProtection="1">
      <alignment vertical="center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0" borderId="4" xfId="0" applyFont="1" applyFill="1" applyBorder="1" applyAlignment="1" applyProtection="1">
      <alignment horizontal="center" vertical="center" wrapText="1"/>
      <protection locked="0"/>
    </xf>
    <xf numFmtId="0" fontId="6" fillId="10" borderId="4" xfId="0" applyFont="1" applyFill="1" applyBorder="1" applyAlignment="1" applyProtection="1">
      <alignment horizontal="center" vertical="center"/>
      <protection locked="0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 applyProtection="1">
      <alignment horizontal="center" vertical="center" wrapText="1"/>
      <protection locked="0"/>
    </xf>
    <xf numFmtId="0" fontId="6" fillId="10" borderId="16" xfId="0" applyFont="1" applyFill="1" applyBorder="1" applyAlignment="1">
      <alignment horizontal="center" vertical="center"/>
    </xf>
    <xf numFmtId="0" fontId="6" fillId="10" borderId="17" xfId="0" applyFont="1" applyFill="1" applyBorder="1" applyAlignment="1" applyProtection="1">
      <alignment horizontal="center" vertical="center" wrapText="1"/>
      <protection locked="0"/>
    </xf>
    <xf numFmtId="0" fontId="6" fillId="10" borderId="17" xfId="0" applyFont="1" applyFill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/>
      <protection locked="0"/>
    </xf>
    <xf numFmtId="0" fontId="6" fillId="10" borderId="18" xfId="0" applyFont="1" applyFill="1" applyBorder="1" applyAlignment="1">
      <alignment horizontal="center" vertical="center"/>
    </xf>
    <xf numFmtId="14" fontId="6" fillId="0" borderId="21" xfId="0" applyNumberFormat="1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7" fillId="5" borderId="4" xfId="0" applyFont="1" applyFill="1" applyBorder="1" applyAlignment="1" applyProtection="1">
      <alignment vertical="center"/>
      <protection locked="0"/>
    </xf>
    <xf numFmtId="0" fontId="7" fillId="5" borderId="4" xfId="0" applyFont="1" applyFill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vertical="center"/>
      <protection locked="0"/>
    </xf>
    <xf numFmtId="0" fontId="7" fillId="4" borderId="16" xfId="0" applyFont="1" applyFill="1" applyBorder="1" applyAlignment="1" applyProtection="1">
      <alignment horizontal="center" vertical="center" wrapText="1"/>
      <protection locked="0"/>
    </xf>
    <xf numFmtId="0" fontId="7" fillId="4" borderId="17" xfId="0" applyFont="1" applyFill="1" applyBorder="1" applyAlignment="1">
      <alignment horizontal="center" vertical="center" wrapText="1"/>
    </xf>
    <xf numFmtId="0" fontId="6" fillId="10" borderId="16" xfId="0" applyFont="1" applyFill="1" applyBorder="1" applyAlignment="1" applyProtection="1">
      <alignment horizontal="center" vertical="center" wrapText="1"/>
      <protection locked="0"/>
    </xf>
    <xf numFmtId="0" fontId="6" fillId="10" borderId="17" xfId="0" applyFont="1" applyFill="1" applyBorder="1" applyAlignment="1">
      <alignment horizontal="center" vertical="center"/>
    </xf>
    <xf numFmtId="0" fontId="6" fillId="10" borderId="16" xfId="0" applyFont="1" applyFill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8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6" fillId="4" borderId="14" xfId="0" applyFont="1" applyFill="1" applyBorder="1" applyAlignment="1" applyProtection="1">
      <alignment horizontal="center" vertical="center"/>
      <protection locked="0"/>
    </xf>
    <xf numFmtId="0" fontId="7" fillId="4" borderId="23" xfId="0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 applyProtection="1">
      <alignment vertical="center"/>
      <protection locked="0"/>
    </xf>
    <xf numFmtId="0" fontId="7" fillId="9" borderId="4" xfId="0" applyFont="1" applyFill="1" applyBorder="1" applyAlignment="1" applyProtection="1">
      <alignment horizontal="center" vertical="center" wrapText="1"/>
      <protection locked="0"/>
    </xf>
    <xf numFmtId="0" fontId="6" fillId="10" borderId="4" xfId="0" applyFont="1" applyFill="1" applyBorder="1" applyAlignment="1" applyProtection="1">
      <alignment vertical="center"/>
      <protection locked="0"/>
    </xf>
    <xf numFmtId="0" fontId="7" fillId="6" borderId="14" xfId="0" applyFont="1" applyFill="1" applyBorder="1" applyAlignment="1" applyProtection="1">
      <alignment vertical="center"/>
      <protection locked="0"/>
    </xf>
    <xf numFmtId="0" fontId="7" fillId="6" borderId="23" xfId="0" applyFont="1" applyFill="1" applyBorder="1" applyAlignment="1" applyProtection="1">
      <alignment vertical="center"/>
      <protection locked="0"/>
    </xf>
    <xf numFmtId="0" fontId="7" fillId="6" borderId="15" xfId="0" applyFont="1" applyFill="1" applyBorder="1" applyAlignment="1">
      <alignment vertical="center"/>
    </xf>
    <xf numFmtId="0" fontId="7" fillId="6" borderId="16" xfId="0" applyFont="1" applyFill="1" applyBorder="1" applyAlignment="1" applyProtection="1">
      <alignment horizontal="center" vertical="center" wrapText="1"/>
      <protection locked="0"/>
    </xf>
    <xf numFmtId="0" fontId="7" fillId="6" borderId="17" xfId="0" applyFont="1" applyFill="1" applyBorder="1" applyAlignment="1">
      <alignment horizontal="center" vertical="center" wrapText="1"/>
    </xf>
    <xf numFmtId="0" fontId="6" fillId="10" borderId="17" xfId="0" applyFont="1" applyFill="1" applyBorder="1" applyAlignment="1">
      <alignment vertical="center"/>
    </xf>
    <xf numFmtId="0" fontId="6" fillId="10" borderId="16" xfId="0" applyFont="1" applyFill="1" applyBorder="1" applyAlignment="1" applyProtection="1">
      <alignment vertical="center"/>
      <protection locked="0"/>
    </xf>
    <xf numFmtId="0" fontId="6" fillId="0" borderId="16" xfId="0" applyFont="1" applyBorder="1" applyAlignment="1" applyProtection="1">
      <alignment vertic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9" fillId="10" borderId="4" xfId="0" applyFont="1" applyFill="1" applyBorder="1" applyAlignment="1">
      <alignment horizontal="center" vertical="center"/>
    </xf>
    <xf numFmtId="0" fontId="6" fillId="10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Protection="1">
      <protection locked="0"/>
    </xf>
    <xf numFmtId="0" fontId="7" fillId="11" borderId="4" xfId="0" applyFont="1" applyFill="1" applyBorder="1" applyAlignment="1" applyProtection="1">
      <alignment horizontal="center" vertical="center"/>
      <protection locked="0"/>
    </xf>
    <xf numFmtId="0" fontId="7" fillId="11" borderId="1" xfId="0" applyFont="1" applyFill="1" applyBorder="1" applyAlignment="1" applyProtection="1">
      <alignment horizontal="center" vertical="center"/>
      <protection locked="0"/>
    </xf>
    <xf numFmtId="0" fontId="7" fillId="11" borderId="4" xfId="0" applyFont="1" applyFill="1" applyBorder="1" applyAlignment="1" applyProtection="1">
      <alignment horizontal="center" vertical="center" wrapText="1"/>
      <protection locked="0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7" fillId="11" borderId="1" xfId="0" applyFont="1" applyFill="1" applyBorder="1" applyAlignment="1" applyProtection="1">
      <alignment horizontal="center" vertical="center" wrapText="1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20" xfId="0" applyFont="1" applyFill="1" applyBorder="1" applyAlignment="1" applyProtection="1">
      <alignment horizontal="center" vertical="center"/>
      <protection locked="0"/>
    </xf>
    <xf numFmtId="0" fontId="7" fillId="2" borderId="22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8" borderId="2" xfId="0" applyFont="1" applyFill="1" applyBorder="1" applyAlignment="1" applyProtection="1">
      <alignment horizontal="center"/>
      <protection locked="0"/>
    </xf>
    <xf numFmtId="0" fontId="2" fillId="8" borderId="3" xfId="0" applyFont="1" applyFill="1" applyBorder="1" applyAlignment="1" applyProtection="1">
      <alignment horizontal="center"/>
      <protection locked="0"/>
    </xf>
    <xf numFmtId="0" fontId="2" fillId="7" borderId="5" xfId="0" applyFont="1" applyFill="1" applyBorder="1" applyAlignment="1" applyProtection="1">
      <alignment horizontal="center"/>
      <protection locked="0"/>
    </xf>
    <xf numFmtId="0" fontId="2" fillId="7" borderId="6" xfId="0" applyFont="1" applyFill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center"/>
      <protection locked="0"/>
    </xf>
    <xf numFmtId="0" fontId="2" fillId="8" borderId="10" xfId="0" applyFont="1" applyFill="1" applyBorder="1" applyAlignment="1" applyProtection="1">
      <alignment horizontal="center"/>
      <protection locked="0"/>
    </xf>
    <xf numFmtId="0" fontId="2" fillId="8" borderId="11" xfId="0" applyFont="1" applyFill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8" borderId="4" xfId="0" applyFont="1" applyFill="1" applyBorder="1" applyAlignment="1" applyProtection="1">
      <alignment horizontal="center"/>
      <protection locked="0"/>
    </xf>
    <xf numFmtId="0" fontId="2" fillId="1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FF99"/>
      <color rgb="FFCCCCFF"/>
      <color rgb="FFFFCCFF"/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U30"/>
  <sheetViews>
    <sheetView tabSelected="1" zoomScale="80" zoomScaleNormal="80" workbookViewId="0">
      <selection activeCell="C7" sqref="C7"/>
    </sheetView>
  </sheetViews>
  <sheetFormatPr baseColWidth="10" defaultColWidth="11.42578125" defaultRowHeight="24" customHeight="1" x14ac:dyDescent="0.2"/>
  <cols>
    <col min="1" max="1" width="11.42578125" style="33"/>
    <col min="2" max="2" width="14" style="33" customWidth="1"/>
    <col min="3" max="3" width="8.85546875" style="33" bestFit="1" customWidth="1"/>
    <col min="4" max="4" width="13.28515625" style="33" bestFit="1" customWidth="1"/>
    <col min="5" max="5" width="20.7109375" style="34" customWidth="1"/>
    <col min="6" max="6" width="17.7109375" style="94" bestFit="1" customWidth="1"/>
    <col min="7" max="7" width="14.140625" style="93" customWidth="1"/>
    <col min="8" max="8" width="14.7109375" style="95" customWidth="1"/>
    <col min="9" max="9" width="11.42578125" style="34"/>
    <col min="10" max="10" width="10.85546875" style="34" bestFit="1" customWidth="1"/>
    <col min="11" max="11" width="11" style="95" bestFit="1" customWidth="1"/>
    <col min="12" max="12" width="10.85546875" style="93" customWidth="1"/>
    <col min="13" max="13" width="11.5703125" style="95" customWidth="1"/>
    <col min="14" max="14" width="12.42578125" style="95" customWidth="1"/>
    <col min="15" max="15" width="11.7109375" style="93" customWidth="1"/>
    <col min="16" max="16" width="13.140625" style="95" customWidth="1"/>
    <col min="17" max="17" width="11.140625" style="95" customWidth="1"/>
    <col min="18" max="18" width="13.42578125" style="93" customWidth="1"/>
    <col min="19" max="20" width="11.42578125" style="95"/>
    <col min="21" max="21" width="11.42578125" style="93"/>
    <col min="22" max="16384" width="11.42578125" style="33"/>
  </cols>
  <sheetData>
    <row r="1" spans="1:21" ht="24" customHeight="1" thickBot="1" x14ac:dyDescent="0.25"/>
    <row r="2" spans="1:21" s="34" customFormat="1" ht="24" customHeight="1" x14ac:dyDescent="0.25">
      <c r="A2" s="155"/>
      <c r="B2" s="155"/>
      <c r="C2" s="152"/>
      <c r="D2" s="153"/>
      <c r="E2" s="148"/>
      <c r="F2" s="106"/>
      <c r="G2" s="160" t="s">
        <v>28</v>
      </c>
      <c r="H2" s="161"/>
      <c r="I2" s="130"/>
      <c r="J2" s="131"/>
      <c r="K2" s="132" t="s">
        <v>91</v>
      </c>
      <c r="L2" s="133"/>
      <c r="M2" s="119" t="s">
        <v>29</v>
      </c>
      <c r="N2" s="83"/>
      <c r="O2" s="134"/>
      <c r="P2" s="139" t="s">
        <v>8</v>
      </c>
      <c r="Q2" s="140"/>
      <c r="R2" s="141"/>
      <c r="S2" s="136" t="s">
        <v>14</v>
      </c>
      <c r="T2" s="84"/>
      <c r="U2" s="89"/>
    </row>
    <row r="3" spans="1:21" s="36" customFormat="1" ht="45" x14ac:dyDescent="0.25">
      <c r="A3" s="156" t="s">
        <v>92</v>
      </c>
      <c r="B3" s="156" t="s">
        <v>93</v>
      </c>
      <c r="C3" s="154" t="s">
        <v>0</v>
      </c>
      <c r="D3" s="153" t="s">
        <v>1</v>
      </c>
      <c r="E3" s="35" t="s">
        <v>2</v>
      </c>
      <c r="F3" s="106" t="s">
        <v>3</v>
      </c>
      <c r="G3" s="110" t="s">
        <v>6</v>
      </c>
      <c r="H3" s="32" t="s">
        <v>5</v>
      </c>
      <c r="I3" s="111" t="s">
        <v>4</v>
      </c>
      <c r="J3" s="122" t="s">
        <v>4</v>
      </c>
      <c r="K3" s="85" t="s">
        <v>7</v>
      </c>
      <c r="L3" s="123" t="s">
        <v>6</v>
      </c>
      <c r="M3" s="120" t="s">
        <v>4</v>
      </c>
      <c r="N3" s="86" t="s">
        <v>7</v>
      </c>
      <c r="O3" s="135" t="s">
        <v>6</v>
      </c>
      <c r="P3" s="142" t="s">
        <v>9</v>
      </c>
      <c r="Q3" s="87" t="s">
        <v>7</v>
      </c>
      <c r="R3" s="143" t="s">
        <v>10</v>
      </c>
      <c r="S3" s="137" t="s">
        <v>12</v>
      </c>
      <c r="T3" s="88" t="s">
        <v>7</v>
      </c>
      <c r="U3" s="90" t="s">
        <v>13</v>
      </c>
    </row>
    <row r="4" spans="1:21" s="36" customFormat="1" ht="15.75" x14ac:dyDescent="0.25">
      <c r="A4" s="150"/>
      <c r="B4" s="96" t="s">
        <v>94</v>
      </c>
      <c r="C4" s="158">
        <v>500</v>
      </c>
      <c r="D4" s="96">
        <v>3414</v>
      </c>
      <c r="E4" s="43"/>
      <c r="F4" s="107">
        <f>E4-I4</f>
        <v>0</v>
      </c>
      <c r="G4" s="112">
        <f>I4+5000</f>
        <v>5000</v>
      </c>
      <c r="H4" s="102"/>
      <c r="I4" s="113"/>
      <c r="J4" s="124"/>
      <c r="K4" s="103"/>
      <c r="L4" s="125">
        <f t="shared" ref="L4:L30" si="0">J4+10000</f>
        <v>10000</v>
      </c>
      <c r="M4" s="108"/>
      <c r="N4" s="103"/>
      <c r="O4" s="107">
        <f>M4+15000</f>
        <v>15000</v>
      </c>
      <c r="P4" s="124"/>
      <c r="Q4" s="43"/>
      <c r="R4" s="144">
        <v>10000</v>
      </c>
      <c r="S4" s="108"/>
      <c r="T4" s="43"/>
      <c r="U4" s="98">
        <f>S4+20000</f>
        <v>20000</v>
      </c>
    </row>
    <row r="5" spans="1:21" s="100" customFormat="1" ht="22.5" customHeight="1" x14ac:dyDescent="0.25">
      <c r="A5" s="150"/>
      <c r="B5" s="159" t="s">
        <v>95</v>
      </c>
      <c r="C5" s="158">
        <v>503</v>
      </c>
      <c r="D5" s="96">
        <v>3580</v>
      </c>
      <c r="E5" s="43"/>
      <c r="F5" s="107">
        <f>E5-I5</f>
        <v>0</v>
      </c>
      <c r="G5" s="112">
        <f>I5+5000</f>
        <v>5000</v>
      </c>
      <c r="H5" s="102"/>
      <c r="I5" s="113"/>
      <c r="J5" s="124"/>
      <c r="K5" s="103"/>
      <c r="L5" s="125">
        <f>J5+10000</f>
        <v>10000</v>
      </c>
      <c r="M5" s="108"/>
      <c r="N5" s="103"/>
      <c r="O5" s="107">
        <f t="shared" ref="O5:O30" si="1">M5+15000</f>
        <v>15000</v>
      </c>
      <c r="P5" s="124"/>
      <c r="Q5" s="43"/>
      <c r="R5" s="144">
        <v>10000</v>
      </c>
      <c r="S5" s="108"/>
      <c r="T5" s="43"/>
      <c r="U5" s="98">
        <f>S5+20000</f>
        <v>20000</v>
      </c>
    </row>
    <row r="6" spans="1:21" s="99" customFormat="1" ht="18.75" customHeight="1" x14ac:dyDescent="0.2">
      <c r="A6" s="157"/>
      <c r="B6" s="159" t="s">
        <v>95</v>
      </c>
      <c r="C6" s="158">
        <v>504</v>
      </c>
      <c r="D6" s="96">
        <v>3581</v>
      </c>
      <c r="E6" s="43"/>
      <c r="F6" s="107">
        <f t="shared" ref="F6:F30" si="2">E6-I6</f>
        <v>0</v>
      </c>
      <c r="G6" s="112">
        <f t="shared" ref="G6:G24" si="3">I6+5000</f>
        <v>5000</v>
      </c>
      <c r="H6" s="103"/>
      <c r="I6" s="114"/>
      <c r="J6" s="126"/>
      <c r="K6" s="103"/>
      <c r="L6" s="125">
        <f t="shared" si="0"/>
        <v>10000</v>
      </c>
      <c r="M6" s="109"/>
      <c r="N6" s="103"/>
      <c r="O6" s="107">
        <f t="shared" si="1"/>
        <v>15000</v>
      </c>
      <c r="P6" s="145"/>
      <c r="Q6" s="97"/>
      <c r="R6" s="144">
        <v>10000</v>
      </c>
      <c r="S6" s="138"/>
      <c r="T6" s="97"/>
      <c r="U6" s="98">
        <f t="shared" ref="U6:U24" si="4">S6+20000</f>
        <v>20000</v>
      </c>
    </row>
    <row r="7" spans="1:21" s="99" customFormat="1" ht="24" customHeight="1" x14ac:dyDescent="0.2">
      <c r="A7" s="157"/>
      <c r="B7" s="159" t="s">
        <v>95</v>
      </c>
      <c r="C7" s="158">
        <v>505</v>
      </c>
      <c r="D7" s="96">
        <v>3582</v>
      </c>
      <c r="E7" s="43"/>
      <c r="F7" s="107">
        <f t="shared" si="2"/>
        <v>0</v>
      </c>
      <c r="G7" s="112">
        <f t="shared" si="3"/>
        <v>5000</v>
      </c>
      <c r="H7" s="103"/>
      <c r="I7" s="114"/>
      <c r="J7" s="126"/>
      <c r="K7" s="103"/>
      <c r="L7" s="125">
        <f t="shared" si="0"/>
        <v>10000</v>
      </c>
      <c r="M7" s="109"/>
      <c r="N7" s="103"/>
      <c r="O7" s="107">
        <f t="shared" si="1"/>
        <v>15000</v>
      </c>
      <c r="P7" s="145"/>
      <c r="Q7" s="97"/>
      <c r="R7" s="144">
        <v>10000</v>
      </c>
      <c r="S7" s="138"/>
      <c r="T7" s="97"/>
      <c r="U7" s="98">
        <f t="shared" si="4"/>
        <v>20000</v>
      </c>
    </row>
    <row r="8" spans="1:21" ht="24" customHeight="1" x14ac:dyDescent="0.2">
      <c r="A8" s="40"/>
      <c r="B8" s="159" t="s">
        <v>95</v>
      </c>
      <c r="C8" s="158">
        <v>506</v>
      </c>
      <c r="D8" s="96">
        <v>3583</v>
      </c>
      <c r="E8" s="38"/>
      <c r="F8" s="107">
        <f t="shared" si="2"/>
        <v>0</v>
      </c>
      <c r="G8" s="112">
        <f t="shared" si="3"/>
        <v>5000</v>
      </c>
      <c r="H8" s="105"/>
      <c r="I8" s="115"/>
      <c r="J8" s="127"/>
      <c r="K8" s="101"/>
      <c r="L8" s="125">
        <f t="shared" si="0"/>
        <v>10000</v>
      </c>
      <c r="M8" s="121"/>
      <c r="N8" s="101"/>
      <c r="O8" s="107">
        <f t="shared" si="1"/>
        <v>15000</v>
      </c>
      <c r="P8" s="146"/>
      <c r="Q8" s="101"/>
      <c r="R8" s="144">
        <v>10000</v>
      </c>
      <c r="S8" s="121"/>
      <c r="T8" s="101"/>
      <c r="U8" s="98">
        <f t="shared" si="4"/>
        <v>20000</v>
      </c>
    </row>
    <row r="9" spans="1:21" ht="24" customHeight="1" x14ac:dyDescent="0.2">
      <c r="A9" s="40"/>
      <c r="B9" s="159" t="s">
        <v>95</v>
      </c>
      <c r="C9" s="158">
        <v>507</v>
      </c>
      <c r="D9" s="96">
        <v>3584</v>
      </c>
      <c r="E9" s="38"/>
      <c r="F9" s="107">
        <f t="shared" si="2"/>
        <v>0</v>
      </c>
      <c r="G9" s="112">
        <f t="shared" si="3"/>
        <v>5000</v>
      </c>
      <c r="H9" s="105"/>
      <c r="I9" s="115"/>
      <c r="J9" s="127"/>
      <c r="K9" s="101"/>
      <c r="L9" s="125">
        <f t="shared" si="0"/>
        <v>10000</v>
      </c>
      <c r="M9" s="121"/>
      <c r="N9" s="101"/>
      <c r="O9" s="107">
        <f t="shared" si="1"/>
        <v>15000</v>
      </c>
      <c r="P9" s="146"/>
      <c r="Q9" s="101"/>
      <c r="R9" s="144">
        <v>10000</v>
      </c>
      <c r="S9" s="121"/>
      <c r="T9" s="101"/>
      <c r="U9" s="98">
        <f t="shared" si="4"/>
        <v>20000</v>
      </c>
    </row>
    <row r="10" spans="1:21" ht="24" customHeight="1" x14ac:dyDescent="0.2">
      <c r="A10" s="151"/>
      <c r="B10" s="159" t="s">
        <v>95</v>
      </c>
      <c r="C10" s="158">
        <v>508</v>
      </c>
      <c r="D10" s="96">
        <v>3585</v>
      </c>
      <c r="E10" s="38"/>
      <c r="F10" s="107">
        <f t="shared" si="2"/>
        <v>0</v>
      </c>
      <c r="G10" s="112">
        <f>I10+5000</f>
        <v>5000</v>
      </c>
      <c r="H10" s="105"/>
      <c r="I10" s="115"/>
      <c r="J10" s="127"/>
      <c r="K10" s="101"/>
      <c r="L10" s="125">
        <f t="shared" si="0"/>
        <v>10000</v>
      </c>
      <c r="M10" s="121"/>
      <c r="N10" s="101"/>
      <c r="O10" s="107">
        <f t="shared" si="1"/>
        <v>15000</v>
      </c>
      <c r="P10" s="146"/>
      <c r="Q10" s="101"/>
      <c r="R10" s="144">
        <v>10000</v>
      </c>
      <c r="S10" s="121"/>
      <c r="T10" s="101"/>
      <c r="U10" s="98">
        <f t="shared" si="4"/>
        <v>20000</v>
      </c>
    </row>
    <row r="11" spans="1:21" ht="24" customHeight="1" x14ac:dyDescent="0.2">
      <c r="A11" s="151"/>
      <c r="B11" s="159" t="s">
        <v>95</v>
      </c>
      <c r="C11" s="158">
        <v>509</v>
      </c>
      <c r="D11" s="96">
        <v>3586</v>
      </c>
      <c r="E11" s="38"/>
      <c r="F11" s="107">
        <f t="shared" si="2"/>
        <v>0</v>
      </c>
      <c r="G11" s="112">
        <f t="shared" si="3"/>
        <v>5000</v>
      </c>
      <c r="H11" s="105"/>
      <c r="I11" s="115"/>
      <c r="J11" s="127"/>
      <c r="K11" s="101"/>
      <c r="L11" s="125">
        <f t="shared" si="0"/>
        <v>10000</v>
      </c>
      <c r="M11" s="121"/>
      <c r="N11" s="101"/>
      <c r="O11" s="107">
        <f t="shared" si="1"/>
        <v>15000</v>
      </c>
      <c r="P11" s="146"/>
      <c r="Q11" s="101"/>
      <c r="R11" s="144">
        <v>10000</v>
      </c>
      <c r="S11" s="121"/>
      <c r="T11" s="101"/>
      <c r="U11" s="98">
        <f t="shared" si="4"/>
        <v>20000</v>
      </c>
    </row>
    <row r="12" spans="1:21" ht="24" customHeight="1" x14ac:dyDescent="0.2">
      <c r="A12" s="151"/>
      <c r="B12" s="159" t="s">
        <v>95</v>
      </c>
      <c r="C12" s="158">
        <v>510</v>
      </c>
      <c r="D12" s="96">
        <v>3587</v>
      </c>
      <c r="E12" s="38"/>
      <c r="F12" s="107">
        <f t="shared" si="2"/>
        <v>0</v>
      </c>
      <c r="G12" s="112">
        <f t="shared" si="3"/>
        <v>5000</v>
      </c>
      <c r="H12" s="105"/>
      <c r="I12" s="115"/>
      <c r="J12" s="127"/>
      <c r="K12" s="101"/>
      <c r="L12" s="125">
        <f t="shared" si="0"/>
        <v>10000</v>
      </c>
      <c r="M12" s="121"/>
      <c r="N12" s="101"/>
      <c r="O12" s="107">
        <f t="shared" si="1"/>
        <v>15000</v>
      </c>
      <c r="P12" s="146"/>
      <c r="Q12" s="104"/>
      <c r="R12" s="144">
        <v>10000</v>
      </c>
      <c r="S12" s="121"/>
      <c r="T12" s="101"/>
      <c r="U12" s="98">
        <f t="shared" si="4"/>
        <v>20000</v>
      </c>
    </row>
    <row r="13" spans="1:21" ht="24" customHeight="1" x14ac:dyDescent="0.2">
      <c r="A13" s="151"/>
      <c r="B13" s="159" t="s">
        <v>95</v>
      </c>
      <c r="C13" s="158">
        <v>511</v>
      </c>
      <c r="D13" s="96">
        <v>3588</v>
      </c>
      <c r="E13" s="38"/>
      <c r="F13" s="107">
        <f t="shared" si="2"/>
        <v>0</v>
      </c>
      <c r="G13" s="112">
        <f t="shared" si="3"/>
        <v>5000</v>
      </c>
      <c r="H13" s="105"/>
      <c r="I13" s="115"/>
      <c r="J13" s="127"/>
      <c r="K13" s="104"/>
      <c r="L13" s="125">
        <f t="shared" si="0"/>
        <v>10000</v>
      </c>
      <c r="M13" s="121"/>
      <c r="N13" s="101"/>
      <c r="O13" s="107">
        <f t="shared" si="1"/>
        <v>15000</v>
      </c>
      <c r="P13" s="146"/>
      <c r="Q13" s="104"/>
      <c r="R13" s="144">
        <v>10000</v>
      </c>
      <c r="S13" s="121"/>
      <c r="T13" s="101"/>
      <c r="U13" s="98">
        <f t="shared" si="4"/>
        <v>20000</v>
      </c>
    </row>
    <row r="14" spans="1:21" ht="24" customHeight="1" x14ac:dyDescent="0.2">
      <c r="A14" s="151"/>
      <c r="B14" s="159" t="s">
        <v>95</v>
      </c>
      <c r="C14" s="158">
        <v>512</v>
      </c>
      <c r="D14" s="96">
        <v>3589</v>
      </c>
      <c r="E14" s="38"/>
      <c r="F14" s="107">
        <f t="shared" si="2"/>
        <v>0</v>
      </c>
      <c r="G14" s="112">
        <f t="shared" si="3"/>
        <v>5000</v>
      </c>
      <c r="H14" s="105"/>
      <c r="I14" s="115"/>
      <c r="J14" s="127"/>
      <c r="K14" s="101"/>
      <c r="L14" s="125">
        <f t="shared" si="0"/>
        <v>10000</v>
      </c>
      <c r="M14" s="121"/>
      <c r="N14" s="101"/>
      <c r="O14" s="107">
        <f t="shared" si="1"/>
        <v>15000</v>
      </c>
      <c r="P14" s="146"/>
      <c r="Q14" s="101"/>
      <c r="R14" s="144">
        <v>10000</v>
      </c>
      <c r="S14" s="121"/>
      <c r="T14" s="101"/>
      <c r="U14" s="98">
        <f t="shared" si="4"/>
        <v>20000</v>
      </c>
    </row>
    <row r="15" spans="1:21" ht="24" customHeight="1" x14ac:dyDescent="0.2">
      <c r="A15" s="151"/>
      <c r="B15" s="151"/>
      <c r="C15" s="149"/>
      <c r="D15" s="96"/>
      <c r="E15" s="38"/>
      <c r="F15" s="107">
        <f t="shared" si="2"/>
        <v>0</v>
      </c>
      <c r="G15" s="112">
        <f t="shared" si="3"/>
        <v>5000</v>
      </c>
      <c r="H15" s="105"/>
      <c r="I15" s="115"/>
      <c r="J15" s="127"/>
      <c r="K15" s="101"/>
      <c r="L15" s="125">
        <f t="shared" si="0"/>
        <v>10000</v>
      </c>
      <c r="M15" s="121"/>
      <c r="N15" s="101"/>
      <c r="O15" s="107">
        <f t="shared" si="1"/>
        <v>15000</v>
      </c>
      <c r="P15" s="146"/>
      <c r="Q15" s="104"/>
      <c r="R15" s="144">
        <v>10000</v>
      </c>
      <c r="S15" s="121"/>
      <c r="T15" s="101"/>
      <c r="U15" s="98">
        <f t="shared" si="4"/>
        <v>20000</v>
      </c>
    </row>
    <row r="16" spans="1:21" ht="24" customHeight="1" x14ac:dyDescent="0.2">
      <c r="A16" s="151"/>
      <c r="B16" s="151"/>
      <c r="C16" s="149"/>
      <c r="D16" s="96"/>
      <c r="E16" s="38"/>
      <c r="F16" s="107">
        <f t="shared" si="2"/>
        <v>0</v>
      </c>
      <c r="G16" s="112">
        <f t="shared" si="3"/>
        <v>5000</v>
      </c>
      <c r="H16" s="105"/>
      <c r="I16" s="115"/>
      <c r="J16" s="127"/>
      <c r="K16" s="101"/>
      <c r="L16" s="125">
        <f t="shared" si="0"/>
        <v>10000</v>
      </c>
      <c r="M16" s="121"/>
      <c r="N16" s="101"/>
      <c r="O16" s="107">
        <f t="shared" si="1"/>
        <v>15000</v>
      </c>
      <c r="P16" s="146"/>
      <c r="Q16" s="101"/>
      <c r="R16" s="144">
        <v>10000</v>
      </c>
      <c r="S16" s="121"/>
      <c r="T16" s="101"/>
      <c r="U16" s="98">
        <f t="shared" si="4"/>
        <v>20000</v>
      </c>
    </row>
    <row r="17" spans="1:21" ht="24" customHeight="1" x14ac:dyDescent="0.2">
      <c r="A17" s="151"/>
      <c r="B17" s="151"/>
      <c r="C17" s="149"/>
      <c r="D17" s="96"/>
      <c r="E17" s="38"/>
      <c r="F17" s="107">
        <f t="shared" si="2"/>
        <v>0</v>
      </c>
      <c r="G17" s="112">
        <f t="shared" si="3"/>
        <v>5000</v>
      </c>
      <c r="H17" s="105"/>
      <c r="I17" s="115"/>
      <c r="J17" s="127"/>
      <c r="K17" s="101"/>
      <c r="L17" s="125">
        <f t="shared" si="0"/>
        <v>10000</v>
      </c>
      <c r="M17" s="121"/>
      <c r="N17" s="101"/>
      <c r="O17" s="107">
        <f t="shared" si="1"/>
        <v>15000</v>
      </c>
      <c r="P17" s="146"/>
      <c r="Q17" s="101"/>
      <c r="R17" s="144">
        <v>10000</v>
      </c>
      <c r="S17" s="121"/>
      <c r="T17" s="101"/>
      <c r="U17" s="98">
        <f t="shared" si="4"/>
        <v>20000</v>
      </c>
    </row>
    <row r="18" spans="1:21" ht="24" customHeight="1" x14ac:dyDescent="0.2">
      <c r="A18" s="151"/>
      <c r="B18" s="151"/>
      <c r="C18" s="149"/>
      <c r="D18" s="96"/>
      <c r="E18" s="38"/>
      <c r="F18" s="107">
        <f t="shared" si="2"/>
        <v>0</v>
      </c>
      <c r="G18" s="112">
        <f t="shared" si="3"/>
        <v>5000</v>
      </c>
      <c r="H18" s="105"/>
      <c r="I18" s="115"/>
      <c r="J18" s="127"/>
      <c r="K18" s="101"/>
      <c r="L18" s="125">
        <f t="shared" si="0"/>
        <v>10000</v>
      </c>
      <c r="M18" s="121"/>
      <c r="N18" s="101"/>
      <c r="O18" s="107">
        <f t="shared" si="1"/>
        <v>15000</v>
      </c>
      <c r="P18" s="146"/>
      <c r="Q18" s="104"/>
      <c r="R18" s="144">
        <v>10000</v>
      </c>
      <c r="S18" s="121"/>
      <c r="T18" s="101"/>
      <c r="U18" s="98">
        <f t="shared" si="4"/>
        <v>20000</v>
      </c>
    </row>
    <row r="19" spans="1:21" ht="24" customHeight="1" x14ac:dyDescent="0.2">
      <c r="A19" s="151"/>
      <c r="B19" s="151"/>
      <c r="C19" s="149"/>
      <c r="D19" s="96"/>
      <c r="E19" s="38"/>
      <c r="F19" s="107">
        <f t="shared" si="2"/>
        <v>0</v>
      </c>
      <c r="G19" s="112">
        <f t="shared" si="3"/>
        <v>5000</v>
      </c>
      <c r="H19" s="105"/>
      <c r="I19" s="115"/>
      <c r="J19" s="127"/>
      <c r="K19" s="101"/>
      <c r="L19" s="125">
        <f t="shared" si="0"/>
        <v>10000</v>
      </c>
      <c r="M19" s="121"/>
      <c r="N19" s="101"/>
      <c r="O19" s="107">
        <f t="shared" si="1"/>
        <v>15000</v>
      </c>
      <c r="P19" s="146"/>
      <c r="Q19" s="101"/>
      <c r="R19" s="144">
        <v>10000</v>
      </c>
      <c r="S19" s="121"/>
      <c r="T19" s="101"/>
      <c r="U19" s="98">
        <f t="shared" si="4"/>
        <v>20000</v>
      </c>
    </row>
    <row r="20" spans="1:21" ht="24" customHeight="1" x14ac:dyDescent="0.2">
      <c r="A20" s="151"/>
      <c r="B20" s="151"/>
      <c r="C20" s="149"/>
      <c r="D20" s="96"/>
      <c r="E20" s="38"/>
      <c r="F20" s="107">
        <f t="shared" si="2"/>
        <v>0</v>
      </c>
      <c r="G20" s="112">
        <f t="shared" si="3"/>
        <v>5000</v>
      </c>
      <c r="H20" s="105"/>
      <c r="I20" s="115"/>
      <c r="J20" s="127"/>
      <c r="K20" s="101"/>
      <c r="L20" s="125">
        <f t="shared" si="0"/>
        <v>10000</v>
      </c>
      <c r="M20" s="121"/>
      <c r="N20" s="101"/>
      <c r="O20" s="107">
        <f t="shared" si="1"/>
        <v>15000</v>
      </c>
      <c r="P20" s="146"/>
      <c r="Q20" s="101"/>
      <c r="R20" s="144">
        <v>10000</v>
      </c>
      <c r="S20" s="121"/>
      <c r="T20" s="101"/>
      <c r="U20" s="98">
        <f t="shared" si="4"/>
        <v>20000</v>
      </c>
    </row>
    <row r="21" spans="1:21" ht="24" customHeight="1" x14ac:dyDescent="0.2">
      <c r="A21" s="151"/>
      <c r="B21" s="151"/>
      <c r="C21" s="149"/>
      <c r="D21" s="96"/>
      <c r="E21" s="38"/>
      <c r="F21" s="107">
        <f t="shared" si="2"/>
        <v>0</v>
      </c>
      <c r="G21" s="112">
        <f t="shared" si="3"/>
        <v>5000</v>
      </c>
      <c r="H21" s="105"/>
      <c r="I21" s="115"/>
      <c r="J21" s="127"/>
      <c r="K21" s="101"/>
      <c r="L21" s="125">
        <f t="shared" si="0"/>
        <v>10000</v>
      </c>
      <c r="M21" s="121"/>
      <c r="N21" s="101"/>
      <c r="O21" s="107">
        <f t="shared" si="1"/>
        <v>15000</v>
      </c>
      <c r="P21" s="146"/>
      <c r="Q21" s="101"/>
      <c r="R21" s="144">
        <v>10000</v>
      </c>
      <c r="S21" s="121"/>
      <c r="T21" s="101"/>
      <c r="U21" s="98">
        <f t="shared" si="4"/>
        <v>20000</v>
      </c>
    </row>
    <row r="22" spans="1:21" ht="24" customHeight="1" x14ac:dyDescent="0.2">
      <c r="A22" s="151"/>
      <c r="B22" s="151"/>
      <c r="C22" s="149"/>
      <c r="D22" s="96"/>
      <c r="E22" s="38"/>
      <c r="F22" s="107">
        <f t="shared" si="2"/>
        <v>0</v>
      </c>
      <c r="G22" s="112">
        <f t="shared" si="3"/>
        <v>5000</v>
      </c>
      <c r="H22" s="105"/>
      <c r="I22" s="115"/>
      <c r="J22" s="127"/>
      <c r="K22" s="101"/>
      <c r="L22" s="125">
        <f t="shared" si="0"/>
        <v>10000</v>
      </c>
      <c r="M22" s="121"/>
      <c r="N22" s="101"/>
      <c r="O22" s="107">
        <f t="shared" si="1"/>
        <v>15000</v>
      </c>
      <c r="P22" s="146"/>
      <c r="Q22" s="104"/>
      <c r="R22" s="144">
        <v>10000</v>
      </c>
      <c r="S22" s="121"/>
      <c r="T22" s="101"/>
      <c r="U22" s="98">
        <f t="shared" si="4"/>
        <v>20000</v>
      </c>
    </row>
    <row r="23" spans="1:21" ht="24" customHeight="1" x14ac:dyDescent="0.2">
      <c r="A23" s="151"/>
      <c r="B23" s="151"/>
      <c r="C23" s="149"/>
      <c r="D23" s="96"/>
      <c r="E23" s="38"/>
      <c r="F23" s="107">
        <f t="shared" si="2"/>
        <v>0</v>
      </c>
      <c r="G23" s="112">
        <f t="shared" si="3"/>
        <v>5000</v>
      </c>
      <c r="H23" s="105"/>
      <c r="I23" s="115"/>
      <c r="J23" s="127"/>
      <c r="K23" s="101"/>
      <c r="L23" s="125">
        <f t="shared" si="0"/>
        <v>10000</v>
      </c>
      <c r="M23" s="121"/>
      <c r="N23" s="101"/>
      <c r="O23" s="107">
        <f t="shared" si="1"/>
        <v>15000</v>
      </c>
      <c r="P23" s="146"/>
      <c r="Q23" s="101"/>
      <c r="R23" s="144">
        <v>10000</v>
      </c>
      <c r="S23" s="121"/>
      <c r="T23" s="101"/>
      <c r="U23" s="98">
        <f t="shared" si="4"/>
        <v>20000</v>
      </c>
    </row>
    <row r="24" spans="1:21" ht="24" customHeight="1" x14ac:dyDescent="0.2">
      <c r="A24" s="151"/>
      <c r="B24" s="151"/>
      <c r="C24" s="149"/>
      <c r="D24" s="96"/>
      <c r="E24" s="38"/>
      <c r="F24" s="107">
        <f t="shared" si="2"/>
        <v>0</v>
      </c>
      <c r="G24" s="112">
        <f t="shared" si="3"/>
        <v>5000</v>
      </c>
      <c r="H24" s="105"/>
      <c r="I24" s="115"/>
      <c r="J24" s="127"/>
      <c r="K24" s="101"/>
      <c r="L24" s="125">
        <f t="shared" si="0"/>
        <v>10000</v>
      </c>
      <c r="M24" s="121"/>
      <c r="N24" s="101"/>
      <c r="O24" s="107">
        <f t="shared" si="1"/>
        <v>15000</v>
      </c>
      <c r="P24" s="146"/>
      <c r="Q24" s="101"/>
      <c r="R24" s="144">
        <v>10000</v>
      </c>
      <c r="S24" s="121"/>
      <c r="T24" s="101"/>
      <c r="U24" s="98">
        <f t="shared" si="4"/>
        <v>20000</v>
      </c>
    </row>
    <row r="25" spans="1:21" ht="24" customHeight="1" x14ac:dyDescent="0.2">
      <c r="A25" s="151"/>
      <c r="B25" s="151"/>
      <c r="C25" s="149"/>
      <c r="D25" s="96"/>
      <c r="E25" s="38"/>
      <c r="F25" s="107">
        <f t="shared" si="2"/>
        <v>0</v>
      </c>
      <c r="G25" s="112">
        <f t="shared" ref="G25:G30" si="5">I25+5000</f>
        <v>5000</v>
      </c>
      <c r="H25" s="105"/>
      <c r="I25" s="115"/>
      <c r="J25" s="127"/>
      <c r="K25" s="101"/>
      <c r="L25" s="125">
        <f t="shared" si="0"/>
        <v>10000</v>
      </c>
      <c r="M25" s="121"/>
      <c r="N25" s="101"/>
      <c r="O25" s="107">
        <f t="shared" si="1"/>
        <v>15000</v>
      </c>
      <c r="P25" s="146"/>
      <c r="Q25" s="101"/>
      <c r="R25" s="144">
        <v>10000</v>
      </c>
      <c r="S25" s="121"/>
      <c r="T25" s="101"/>
      <c r="U25" s="98">
        <f t="shared" ref="U25:U30" si="6">S25+20000</f>
        <v>20000</v>
      </c>
    </row>
    <row r="26" spans="1:21" ht="24" customHeight="1" x14ac:dyDescent="0.2">
      <c r="A26" s="151"/>
      <c r="B26" s="151"/>
      <c r="C26" s="149"/>
      <c r="D26" s="96"/>
      <c r="E26" s="38"/>
      <c r="F26" s="107">
        <f t="shared" si="2"/>
        <v>0</v>
      </c>
      <c r="G26" s="112">
        <f t="shared" si="5"/>
        <v>5000</v>
      </c>
      <c r="H26" s="105"/>
      <c r="I26" s="115"/>
      <c r="J26" s="127"/>
      <c r="K26" s="101"/>
      <c r="L26" s="125">
        <f t="shared" si="0"/>
        <v>10000</v>
      </c>
      <c r="M26" s="121"/>
      <c r="N26" s="101"/>
      <c r="O26" s="107">
        <f t="shared" si="1"/>
        <v>15000</v>
      </c>
      <c r="P26" s="146"/>
      <c r="Q26" s="101"/>
      <c r="R26" s="144">
        <v>10000</v>
      </c>
      <c r="S26" s="121"/>
      <c r="T26" s="101"/>
      <c r="U26" s="98">
        <f t="shared" si="6"/>
        <v>20000</v>
      </c>
    </row>
    <row r="27" spans="1:21" ht="24" customHeight="1" x14ac:dyDescent="0.2">
      <c r="A27" s="151"/>
      <c r="B27" s="151"/>
      <c r="C27" s="149"/>
      <c r="D27" s="96"/>
      <c r="E27" s="38"/>
      <c r="F27" s="107">
        <f t="shared" si="2"/>
        <v>0</v>
      </c>
      <c r="G27" s="112">
        <f t="shared" si="5"/>
        <v>5000</v>
      </c>
      <c r="H27" s="105"/>
      <c r="I27" s="115"/>
      <c r="J27" s="127"/>
      <c r="K27" s="101"/>
      <c r="L27" s="125">
        <f t="shared" si="0"/>
        <v>10000</v>
      </c>
      <c r="M27" s="121"/>
      <c r="N27" s="101"/>
      <c r="O27" s="107">
        <f t="shared" si="1"/>
        <v>15000</v>
      </c>
      <c r="P27" s="146"/>
      <c r="Q27" s="101"/>
      <c r="R27" s="144">
        <v>10000</v>
      </c>
      <c r="S27" s="121"/>
      <c r="T27" s="101"/>
      <c r="U27" s="98">
        <f t="shared" si="6"/>
        <v>20000</v>
      </c>
    </row>
    <row r="28" spans="1:21" ht="24" customHeight="1" x14ac:dyDescent="0.2">
      <c r="A28" s="151"/>
      <c r="B28" s="151"/>
      <c r="C28" s="149"/>
      <c r="D28" s="96"/>
      <c r="E28" s="38"/>
      <c r="F28" s="107">
        <f t="shared" si="2"/>
        <v>0</v>
      </c>
      <c r="G28" s="112">
        <f t="shared" si="5"/>
        <v>5000</v>
      </c>
      <c r="H28" s="105"/>
      <c r="I28" s="115"/>
      <c r="J28" s="127"/>
      <c r="K28" s="101"/>
      <c r="L28" s="125">
        <f t="shared" si="0"/>
        <v>10000</v>
      </c>
      <c r="M28" s="121"/>
      <c r="N28" s="101"/>
      <c r="O28" s="107">
        <f t="shared" si="1"/>
        <v>15000</v>
      </c>
      <c r="P28" s="146"/>
      <c r="Q28" s="101"/>
      <c r="R28" s="144">
        <v>10000</v>
      </c>
      <c r="S28" s="121"/>
      <c r="T28" s="101"/>
      <c r="U28" s="98">
        <f t="shared" si="6"/>
        <v>20000</v>
      </c>
    </row>
    <row r="29" spans="1:21" ht="24" customHeight="1" x14ac:dyDescent="0.2">
      <c r="A29" s="151"/>
      <c r="B29" s="151"/>
      <c r="C29" s="149"/>
      <c r="D29" s="96"/>
      <c r="E29" s="38"/>
      <c r="F29" s="107">
        <f t="shared" si="2"/>
        <v>0</v>
      </c>
      <c r="G29" s="112">
        <f t="shared" si="5"/>
        <v>5000</v>
      </c>
      <c r="H29" s="105"/>
      <c r="I29" s="115"/>
      <c r="J29" s="127"/>
      <c r="K29" s="101"/>
      <c r="L29" s="125">
        <f t="shared" si="0"/>
        <v>10000</v>
      </c>
      <c r="M29" s="121"/>
      <c r="N29" s="101"/>
      <c r="O29" s="107">
        <f t="shared" si="1"/>
        <v>15000</v>
      </c>
      <c r="P29" s="146"/>
      <c r="Q29" s="101"/>
      <c r="R29" s="144">
        <v>10000</v>
      </c>
      <c r="S29" s="121"/>
      <c r="T29" s="101"/>
      <c r="U29" s="98">
        <f t="shared" si="6"/>
        <v>20000</v>
      </c>
    </row>
    <row r="30" spans="1:21" ht="24" customHeight="1" thickBot="1" x14ac:dyDescent="0.25">
      <c r="A30" s="151"/>
      <c r="B30" s="151"/>
      <c r="C30" s="149"/>
      <c r="D30" s="96"/>
      <c r="E30" s="38"/>
      <c r="F30" s="107">
        <f t="shared" si="2"/>
        <v>0</v>
      </c>
      <c r="G30" s="116">
        <f t="shared" si="5"/>
        <v>5000</v>
      </c>
      <c r="H30" s="117"/>
      <c r="I30" s="118"/>
      <c r="J30" s="128"/>
      <c r="K30" s="129"/>
      <c r="L30" s="125">
        <f t="shared" si="0"/>
        <v>10000</v>
      </c>
      <c r="M30" s="121"/>
      <c r="N30" s="101"/>
      <c r="O30" s="107">
        <f t="shared" si="1"/>
        <v>15000</v>
      </c>
      <c r="P30" s="147"/>
      <c r="Q30" s="129"/>
      <c r="R30" s="144">
        <v>10000</v>
      </c>
      <c r="S30" s="121"/>
      <c r="T30" s="101"/>
      <c r="U30" s="98">
        <f t="shared" si="6"/>
        <v>20000</v>
      </c>
    </row>
  </sheetData>
  <mergeCells count="1">
    <mergeCell ref="G2:H2"/>
  </mergeCells>
  <conditionalFormatting sqref="F4:F30">
    <cfRule type="cellIs" dxfId="9" priority="2" operator="greaterThan">
      <formula>4500</formula>
    </cfRule>
  </conditionalFormatting>
  <conditionalFormatting sqref="L4:L30 O4:O30 R4:R30 U4:U30">
    <cfRule type="cellIs" dxfId="8" priority="1" operator="lessThanOrEqual">
      <formula>$E4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I22"/>
  <sheetViews>
    <sheetView zoomScale="80" zoomScaleNormal="80" workbookViewId="0">
      <selection activeCell="G16" sqref="G16"/>
    </sheetView>
  </sheetViews>
  <sheetFormatPr baseColWidth="10" defaultColWidth="11.42578125" defaultRowHeight="28.5" customHeight="1" x14ac:dyDescent="0.35"/>
  <cols>
    <col min="1" max="1" width="11.42578125" style="45"/>
    <col min="2" max="2" width="15.28515625" style="45" customWidth="1"/>
    <col min="3" max="3" width="14.28515625" style="59" customWidth="1"/>
    <col min="4" max="4" width="14.28515625" style="45" customWidth="1"/>
    <col min="5" max="5" width="24" style="49" customWidth="1"/>
    <col min="6" max="6" width="17" style="45" customWidth="1"/>
    <col min="7" max="7" width="11.42578125" style="45"/>
    <col min="8" max="8" width="12.28515625" style="45" bestFit="1" customWidth="1"/>
    <col min="9" max="9" width="24.7109375" style="45" bestFit="1" customWidth="1"/>
    <col min="10" max="16384" width="11.42578125" style="45"/>
  </cols>
  <sheetData>
    <row r="1" spans="1:9" ht="28.5" customHeight="1" x14ac:dyDescent="0.35">
      <c r="A1" s="55" t="s">
        <v>25</v>
      </c>
      <c r="B1" s="55"/>
      <c r="C1" s="56"/>
      <c r="D1" s="55"/>
      <c r="E1" s="55"/>
      <c r="F1" s="55"/>
      <c r="G1" s="55"/>
      <c r="H1" s="55"/>
      <c r="I1" s="55"/>
    </row>
    <row r="2" spans="1:9" s="50" customFormat="1" ht="60.75" x14ac:dyDescent="0.25">
      <c r="A2" s="51" t="s">
        <v>0</v>
      </c>
      <c r="B2" s="52" t="s">
        <v>1</v>
      </c>
      <c r="C2" s="57" t="s">
        <v>30</v>
      </c>
      <c r="D2" s="51" t="s">
        <v>53</v>
      </c>
      <c r="E2" s="53" t="s">
        <v>31</v>
      </c>
      <c r="F2" s="54" t="s">
        <v>15</v>
      </c>
      <c r="G2" s="54" t="s">
        <v>16</v>
      </c>
      <c r="H2" s="54" t="s">
        <v>17</v>
      </c>
      <c r="I2" s="54" t="s">
        <v>18</v>
      </c>
    </row>
    <row r="3" spans="1:9" ht="28.5" customHeight="1" x14ac:dyDescent="0.35">
      <c r="A3" s="37"/>
      <c r="B3" s="38"/>
      <c r="C3" s="58"/>
      <c r="D3" s="46"/>
      <c r="E3" s="47"/>
      <c r="F3" s="48"/>
      <c r="G3" s="48"/>
      <c r="H3" s="48"/>
      <c r="I3" s="48"/>
    </row>
    <row r="4" spans="1:9" ht="28.5" customHeight="1" x14ac:dyDescent="0.35">
      <c r="A4" s="37"/>
      <c r="B4" s="38"/>
      <c r="C4" s="58"/>
      <c r="D4" s="46"/>
      <c r="E4" s="47"/>
      <c r="F4" s="48"/>
      <c r="G4" s="48"/>
      <c r="H4" s="48"/>
      <c r="I4" s="48"/>
    </row>
    <row r="5" spans="1:9" ht="28.5" customHeight="1" x14ac:dyDescent="0.35">
      <c r="A5" s="37"/>
      <c r="B5" s="38"/>
      <c r="C5" s="58"/>
      <c r="D5" s="46"/>
      <c r="E5" s="47"/>
      <c r="F5" s="48"/>
      <c r="G5" s="48"/>
      <c r="H5" s="48"/>
      <c r="I5" s="48"/>
    </row>
    <row r="6" spans="1:9" ht="28.5" customHeight="1" x14ac:dyDescent="0.35">
      <c r="A6" s="37"/>
      <c r="B6" s="38"/>
      <c r="C6" s="58"/>
      <c r="D6" s="46"/>
      <c r="E6" s="47"/>
      <c r="F6" s="48"/>
      <c r="G6" s="48"/>
      <c r="H6" s="48"/>
      <c r="I6" s="48"/>
    </row>
    <row r="7" spans="1:9" ht="28.5" customHeight="1" x14ac:dyDescent="0.35">
      <c r="A7" s="37"/>
      <c r="B7" s="38"/>
      <c r="C7" s="58"/>
      <c r="D7" s="46"/>
      <c r="E7" s="47"/>
      <c r="F7" s="48"/>
      <c r="G7" s="48"/>
      <c r="H7" s="48"/>
      <c r="I7" s="48"/>
    </row>
    <row r="8" spans="1:9" ht="28.5" customHeight="1" x14ac:dyDescent="0.35">
      <c r="A8" s="37"/>
      <c r="B8" s="38"/>
      <c r="C8" s="58"/>
      <c r="D8" s="46"/>
      <c r="E8" s="47"/>
      <c r="F8" s="48"/>
      <c r="G8" s="48"/>
      <c r="H8" s="48"/>
      <c r="I8" s="48"/>
    </row>
    <row r="9" spans="1:9" ht="28.5" customHeight="1" x14ac:dyDescent="0.35">
      <c r="A9" s="37"/>
      <c r="B9" s="38"/>
      <c r="C9" s="58"/>
      <c r="D9" s="46"/>
      <c r="E9" s="47"/>
      <c r="F9" s="48"/>
      <c r="G9" s="48"/>
      <c r="H9" s="48"/>
      <c r="I9" s="48"/>
    </row>
    <row r="10" spans="1:9" ht="28.5" customHeight="1" x14ac:dyDescent="0.35">
      <c r="A10" s="39"/>
      <c r="B10" s="38"/>
      <c r="C10" s="58"/>
      <c r="D10" s="46"/>
      <c r="E10" s="47"/>
      <c r="F10" s="48"/>
      <c r="G10" s="48"/>
      <c r="H10" s="48"/>
      <c r="I10" s="48"/>
    </row>
    <row r="11" spans="1:9" ht="28.5" customHeight="1" x14ac:dyDescent="0.35">
      <c r="A11" s="39"/>
      <c r="B11" s="40"/>
      <c r="C11" s="58"/>
      <c r="D11" s="46"/>
      <c r="E11" s="47"/>
      <c r="F11" s="48"/>
      <c r="G11" s="48"/>
      <c r="H11" s="48"/>
      <c r="I11" s="48"/>
    </row>
    <row r="12" spans="1:9" ht="28.5" customHeight="1" x14ac:dyDescent="0.35">
      <c r="A12" s="41"/>
      <c r="B12" s="40"/>
      <c r="C12" s="58"/>
      <c r="D12" s="46"/>
      <c r="E12" s="47"/>
      <c r="F12" s="48"/>
      <c r="G12" s="48"/>
      <c r="H12" s="48"/>
      <c r="I12" s="48"/>
    </row>
    <row r="13" spans="1:9" ht="28.5" customHeight="1" x14ac:dyDescent="0.35">
      <c r="A13" s="42"/>
      <c r="B13" s="43"/>
      <c r="C13" s="58"/>
      <c r="D13" s="46"/>
      <c r="E13" s="47"/>
      <c r="F13" s="48"/>
      <c r="G13" s="48"/>
      <c r="H13" s="48"/>
      <c r="I13" s="48"/>
    </row>
    <row r="14" spans="1:9" ht="28.5" customHeight="1" x14ac:dyDescent="0.35">
      <c r="A14" s="44"/>
      <c r="B14" s="43"/>
      <c r="C14" s="58"/>
      <c r="D14" s="46"/>
      <c r="E14" s="47"/>
      <c r="F14" s="48"/>
      <c r="G14" s="48"/>
      <c r="H14" s="48"/>
      <c r="I14" s="48"/>
    </row>
    <row r="15" spans="1:9" ht="28.5" customHeight="1" x14ac:dyDescent="0.35">
      <c r="A15" s="37"/>
      <c r="B15" s="38"/>
      <c r="C15" s="58"/>
      <c r="D15" s="46"/>
      <c r="E15" s="47"/>
      <c r="F15" s="48"/>
      <c r="G15" s="48"/>
      <c r="H15" s="48"/>
      <c r="I15" s="48"/>
    </row>
    <row r="16" spans="1:9" ht="28.5" customHeight="1" x14ac:dyDescent="0.35">
      <c r="A16" s="44"/>
      <c r="B16" s="43"/>
      <c r="C16" s="58"/>
      <c r="D16" s="46"/>
      <c r="E16" s="47"/>
      <c r="F16" s="48"/>
      <c r="G16" s="48"/>
      <c r="H16" s="48"/>
      <c r="I16" s="48"/>
    </row>
    <row r="17" spans="1:9" ht="28.5" customHeight="1" x14ac:dyDescent="0.35">
      <c r="A17" s="44"/>
      <c r="B17" s="43"/>
      <c r="C17" s="58"/>
      <c r="D17" s="46"/>
      <c r="E17" s="47"/>
      <c r="F17" s="48"/>
      <c r="G17" s="48"/>
      <c r="H17" s="48"/>
      <c r="I17" s="48"/>
    </row>
    <row r="18" spans="1:9" ht="28.5" customHeight="1" x14ac:dyDescent="0.35">
      <c r="A18" s="44"/>
      <c r="B18" s="43"/>
      <c r="C18" s="58"/>
      <c r="D18" s="46"/>
      <c r="E18" s="47"/>
      <c r="F18" s="48"/>
      <c r="G18" s="48"/>
      <c r="H18" s="48"/>
      <c r="I18" s="48"/>
    </row>
    <row r="19" spans="1:9" ht="28.5" customHeight="1" x14ac:dyDescent="0.35">
      <c r="A19" s="44"/>
      <c r="B19" s="43"/>
      <c r="C19" s="58"/>
      <c r="D19" s="46"/>
      <c r="E19" s="47"/>
      <c r="F19" s="48"/>
      <c r="G19" s="48"/>
      <c r="H19" s="48"/>
      <c r="I19" s="48"/>
    </row>
    <row r="20" spans="1:9" ht="28.5" customHeight="1" x14ac:dyDescent="0.35">
      <c r="A20" s="44"/>
      <c r="B20" s="43"/>
      <c r="C20" s="58"/>
      <c r="D20" s="46"/>
      <c r="E20" s="47"/>
      <c r="F20" s="48"/>
      <c r="G20" s="48"/>
      <c r="H20" s="48"/>
      <c r="I20" s="48"/>
    </row>
    <row r="21" spans="1:9" ht="28.5" customHeight="1" x14ac:dyDescent="0.35">
      <c r="A21" s="44"/>
      <c r="B21" s="43"/>
      <c r="C21" s="58"/>
      <c r="D21" s="46"/>
      <c r="E21" s="47"/>
      <c r="F21" s="48"/>
      <c r="G21" s="48"/>
      <c r="H21" s="48"/>
      <c r="I21" s="48"/>
    </row>
    <row r="22" spans="1:9" ht="28.5" customHeight="1" x14ac:dyDescent="0.35">
      <c r="A22" s="44"/>
      <c r="B22" s="43"/>
      <c r="C22" s="58"/>
      <c r="D22" s="46"/>
      <c r="E22" s="47"/>
      <c r="F22" s="48"/>
      <c r="G22" s="48"/>
      <c r="H22" s="48"/>
      <c r="I22" s="48"/>
    </row>
  </sheetData>
  <conditionalFormatting sqref="C3:D22">
    <cfRule type="expression" dxfId="7" priority="1">
      <formula>C3="VENCIDA"</formula>
    </cfRule>
  </conditionalFormatting>
  <conditionalFormatting sqref="E3">
    <cfRule type="timePeriod" dxfId="6" priority="2" timePeriod="today">
      <formula>FLOOR(E3,1)=TODAY()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D16"/>
  <sheetViews>
    <sheetView zoomScale="80" zoomScaleNormal="80" workbookViewId="0">
      <selection activeCell="K21" sqref="K21"/>
    </sheetView>
  </sheetViews>
  <sheetFormatPr baseColWidth="10" defaultColWidth="11.42578125" defaultRowHeight="18.75" x14ac:dyDescent="0.3"/>
  <cols>
    <col min="1" max="5" width="11.42578125" style="60"/>
    <col min="6" max="6" width="14.7109375" style="60" bestFit="1" customWidth="1"/>
    <col min="7" max="7" width="18.28515625" style="74" customWidth="1"/>
    <col min="8" max="8" width="1.140625" style="60" customWidth="1"/>
    <col min="9" max="11" width="11.42578125" style="60"/>
    <col min="12" max="12" width="14.7109375" style="60" bestFit="1" customWidth="1"/>
    <col min="13" max="13" width="17.42578125" style="74" customWidth="1"/>
    <col min="14" max="14" width="0.85546875" style="60" customWidth="1"/>
    <col min="15" max="17" width="11.42578125" style="60"/>
    <col min="18" max="18" width="14.7109375" style="60" bestFit="1" customWidth="1"/>
    <col min="19" max="19" width="17.140625" style="74" customWidth="1"/>
    <col min="20" max="20" width="0.85546875" style="60" customWidth="1"/>
    <col min="21" max="23" width="11.42578125" style="60"/>
    <col min="24" max="24" width="14.7109375" style="60" bestFit="1" customWidth="1"/>
    <col min="25" max="25" width="18.85546875" style="74" customWidth="1"/>
    <col min="26" max="28" width="11.42578125" style="60"/>
    <col min="29" max="29" width="14.7109375" style="60" bestFit="1" customWidth="1"/>
    <col min="30" max="30" width="17.7109375" style="70" customWidth="1"/>
    <col min="31" max="16384" width="11.42578125" style="60"/>
  </cols>
  <sheetData>
    <row r="1" spans="1:30" x14ac:dyDescent="0.3">
      <c r="C1" s="168" t="s">
        <v>21</v>
      </c>
      <c r="D1" s="169"/>
      <c r="E1" s="169"/>
      <c r="F1" s="169"/>
      <c r="G1" s="78"/>
      <c r="H1" s="166"/>
      <c r="I1" s="168" t="s">
        <v>22</v>
      </c>
      <c r="J1" s="169"/>
      <c r="K1" s="169"/>
      <c r="L1" s="169"/>
      <c r="M1" s="78"/>
      <c r="N1" s="166"/>
      <c r="O1" s="162" t="s">
        <v>23</v>
      </c>
      <c r="P1" s="163"/>
      <c r="Q1" s="163"/>
      <c r="R1" s="163"/>
      <c r="S1" s="71"/>
      <c r="T1" s="75"/>
      <c r="U1" s="162" t="s">
        <v>22</v>
      </c>
      <c r="V1" s="163"/>
      <c r="W1" s="163"/>
      <c r="X1" s="172"/>
      <c r="Y1" s="81"/>
      <c r="Z1" s="162" t="s">
        <v>60</v>
      </c>
      <c r="AA1" s="163"/>
      <c r="AB1" s="163"/>
      <c r="AC1" s="163"/>
      <c r="AD1" s="71"/>
    </row>
    <row r="2" spans="1:30" x14ac:dyDescent="0.3">
      <c r="C2" s="170" t="s">
        <v>24</v>
      </c>
      <c r="D2" s="171"/>
      <c r="E2" s="171"/>
      <c r="F2" s="171"/>
      <c r="G2" s="79"/>
      <c r="H2" s="167"/>
      <c r="I2" s="170" t="s">
        <v>24</v>
      </c>
      <c r="J2" s="171"/>
      <c r="K2" s="171"/>
      <c r="L2" s="171"/>
      <c r="M2" s="79"/>
      <c r="N2" s="167"/>
      <c r="O2" s="164" t="s">
        <v>26</v>
      </c>
      <c r="P2" s="165"/>
      <c r="Q2" s="165"/>
      <c r="R2" s="165"/>
      <c r="S2" s="80"/>
      <c r="T2" s="166"/>
      <c r="U2" s="164" t="s">
        <v>27</v>
      </c>
      <c r="V2" s="165"/>
      <c r="W2" s="165"/>
      <c r="X2" s="173"/>
      <c r="Y2" s="82"/>
      <c r="Z2" s="162"/>
      <c r="AA2" s="163"/>
      <c r="AB2" s="163"/>
      <c r="AC2" s="163"/>
      <c r="AD2" s="71"/>
    </row>
    <row r="3" spans="1:30" x14ac:dyDescent="0.3">
      <c r="A3" s="61" t="s">
        <v>0</v>
      </c>
      <c r="B3" s="62" t="s">
        <v>1</v>
      </c>
      <c r="C3" s="63" t="s">
        <v>19</v>
      </c>
      <c r="D3" s="63" t="s">
        <v>17</v>
      </c>
      <c r="E3" s="63" t="s">
        <v>20</v>
      </c>
      <c r="F3" s="63" t="s">
        <v>5</v>
      </c>
      <c r="G3" s="72" t="s">
        <v>33</v>
      </c>
      <c r="H3" s="167"/>
      <c r="I3" s="63" t="s">
        <v>19</v>
      </c>
      <c r="J3" s="63" t="s">
        <v>17</v>
      </c>
      <c r="K3" s="63" t="s">
        <v>20</v>
      </c>
      <c r="L3" s="63" t="s">
        <v>5</v>
      </c>
      <c r="M3" s="72" t="s">
        <v>33</v>
      </c>
      <c r="N3" s="167"/>
      <c r="O3" s="63" t="s">
        <v>19</v>
      </c>
      <c r="P3" s="63" t="s">
        <v>17</v>
      </c>
      <c r="Q3" s="63" t="s">
        <v>20</v>
      </c>
      <c r="R3" s="63" t="s">
        <v>5</v>
      </c>
      <c r="S3" s="72" t="s">
        <v>33</v>
      </c>
      <c r="T3" s="167"/>
      <c r="U3" s="63" t="s">
        <v>19</v>
      </c>
      <c r="V3" s="63" t="s">
        <v>17</v>
      </c>
      <c r="W3" s="63" t="s">
        <v>20</v>
      </c>
      <c r="X3" s="63" t="s">
        <v>5</v>
      </c>
      <c r="Y3" s="72" t="s">
        <v>33</v>
      </c>
      <c r="Z3" s="63" t="s">
        <v>19</v>
      </c>
      <c r="AA3" s="63" t="s">
        <v>17</v>
      </c>
      <c r="AB3" s="63" t="s">
        <v>20</v>
      </c>
      <c r="AC3" s="63" t="s">
        <v>5</v>
      </c>
      <c r="AD3" s="72" t="s">
        <v>33</v>
      </c>
    </row>
    <row r="4" spans="1:30" x14ac:dyDescent="0.3">
      <c r="A4" s="68">
        <v>261</v>
      </c>
      <c r="B4" s="65" t="s">
        <v>68</v>
      </c>
      <c r="C4" s="66">
        <v>3824</v>
      </c>
      <c r="D4" s="66" t="s">
        <v>88</v>
      </c>
      <c r="E4" s="66" t="s">
        <v>84</v>
      </c>
      <c r="F4" s="67">
        <v>45808</v>
      </c>
      <c r="G4" s="73" t="str">
        <f ca="1">IF(F4&lt;TODAY(),"VENCIDO",IF(F4=TODAY(),"VENCE HOY",IF(F4&gt;TODAY(),"")))</f>
        <v>VENCIDO</v>
      </c>
      <c r="H4" s="167"/>
      <c r="I4" s="66">
        <v>3824</v>
      </c>
      <c r="J4" s="66" t="s">
        <v>88</v>
      </c>
      <c r="K4" s="66" t="s">
        <v>84</v>
      </c>
      <c r="L4" s="67">
        <v>45808</v>
      </c>
      <c r="M4" s="73" t="str">
        <f ca="1">IF(L4&lt;TODAY(),"VENCIDO",IF(L4=TODAY(),"VENCE HOY",IF(L4&gt;TODAY(),"")))</f>
        <v>VENCIDO</v>
      </c>
      <c r="N4" s="167"/>
      <c r="O4" s="66">
        <v>3824</v>
      </c>
      <c r="P4" s="66" t="s">
        <v>88</v>
      </c>
      <c r="Q4" s="66" t="s">
        <v>84</v>
      </c>
      <c r="R4" s="67">
        <v>45808</v>
      </c>
      <c r="S4" s="73" t="str">
        <f ca="1">IF(R4&lt;TODAY(),"VENCIDO",IF(R4=TODAY(),"VENCE HOY",IF(R4&gt;TODAY(),"")))</f>
        <v>VENCIDO</v>
      </c>
      <c r="T4" s="167"/>
      <c r="U4" s="66">
        <v>3824</v>
      </c>
      <c r="V4" s="66" t="s">
        <v>88</v>
      </c>
      <c r="W4" s="66" t="s">
        <v>84</v>
      </c>
      <c r="X4" s="67">
        <v>45808</v>
      </c>
      <c r="Y4" s="73" t="str">
        <f ca="1">IF(X4&lt;TODAY(),"VENCIDO",IF(X4=TODAY(),"VENCE HOY",IF(X4&gt;TODAY(),"")))</f>
        <v>VENCIDO</v>
      </c>
      <c r="Z4" s="66">
        <v>1223</v>
      </c>
      <c r="AA4" s="66" t="s">
        <v>82</v>
      </c>
      <c r="AB4" s="66" t="s">
        <v>81</v>
      </c>
      <c r="AC4" s="67">
        <v>45687</v>
      </c>
      <c r="AD4" s="73" t="str">
        <f ca="1">IF(AC4&lt;TODAY(),"VENCIDO",IF(AC4=TODAY(),"VENCE HOY",IF(AC4&gt;TODAY(),"")))</f>
        <v>VENCIDO</v>
      </c>
    </row>
    <row r="5" spans="1:30" x14ac:dyDescent="0.3">
      <c r="A5" s="68">
        <v>262</v>
      </c>
      <c r="B5" s="65" t="s">
        <v>69</v>
      </c>
      <c r="C5" s="66">
        <v>2022</v>
      </c>
      <c r="D5" s="66" t="s">
        <v>82</v>
      </c>
      <c r="E5" s="66" t="s">
        <v>81</v>
      </c>
      <c r="F5" s="67">
        <v>45687</v>
      </c>
      <c r="G5" s="73" t="str">
        <f t="shared" ref="G5:G13" ca="1" si="0">IF(F5&lt;TODAY(),"VENCIDO",IF(F5=TODAY(),"VENCE HOY",IF(F5&gt;TODAY(),"")))</f>
        <v>VENCIDO</v>
      </c>
      <c r="H5" s="167"/>
      <c r="I5" s="66">
        <v>1223</v>
      </c>
      <c r="J5" s="66" t="s">
        <v>82</v>
      </c>
      <c r="K5" s="66" t="s">
        <v>81</v>
      </c>
      <c r="L5" s="67">
        <v>45687</v>
      </c>
      <c r="M5" s="73" t="str">
        <f t="shared" ref="M5:M13" ca="1" si="1">IF(L5&lt;TODAY(),"VENCIDO",IF(L5=TODAY(),"VENCE HOY",IF(L5&gt;TODAY(),"")))</f>
        <v>VENCIDO</v>
      </c>
      <c r="N5" s="167"/>
      <c r="O5" s="66">
        <v>4723</v>
      </c>
      <c r="P5" s="66" t="s">
        <v>80</v>
      </c>
      <c r="Q5" s="66" t="s">
        <v>81</v>
      </c>
      <c r="R5" s="67">
        <v>45687</v>
      </c>
      <c r="S5" s="73" t="str">
        <f t="shared" ref="S5:S13" ca="1" si="2">IF(R5&lt;TODAY(),"VENCIDO",IF(R5=TODAY(),"VENCE HOY",IF(R5&gt;TODAY(),"")))</f>
        <v>VENCIDO</v>
      </c>
      <c r="T5" s="167"/>
      <c r="U5" s="66">
        <v>4723</v>
      </c>
      <c r="V5" s="66" t="s">
        <v>80</v>
      </c>
      <c r="W5" s="66" t="s">
        <v>81</v>
      </c>
      <c r="X5" s="67">
        <v>45687</v>
      </c>
      <c r="Y5" s="73" t="str">
        <f t="shared" ref="Y5:Y13" ca="1" si="3">IF(X5&lt;TODAY(),"VENCIDO",IF(X5=TODAY(),"VENCE HOY",IF(X5&gt;TODAY(),"")))</f>
        <v>VENCIDO</v>
      </c>
      <c r="Z5" s="66">
        <v>1223</v>
      </c>
      <c r="AA5" s="66" t="s">
        <v>82</v>
      </c>
      <c r="AB5" s="66" t="s">
        <v>81</v>
      </c>
      <c r="AC5" s="67">
        <v>45687</v>
      </c>
      <c r="AD5" s="73" t="str">
        <f t="shared" ref="AD5:AD15" ca="1" si="4">IF(AC5&lt;TODAY(),"VENCIDO",IF(AC5=TODAY(),"VENCE HOY",IF(AC5&gt;TODAY(),"")))</f>
        <v>VENCIDO</v>
      </c>
    </row>
    <row r="6" spans="1:30" x14ac:dyDescent="0.3">
      <c r="A6" s="68">
        <v>263</v>
      </c>
      <c r="B6" s="65" t="s">
        <v>70</v>
      </c>
      <c r="C6" s="66">
        <v>3824</v>
      </c>
      <c r="D6" s="66" t="s">
        <v>88</v>
      </c>
      <c r="E6" s="66" t="s">
        <v>84</v>
      </c>
      <c r="F6" s="67">
        <v>45808</v>
      </c>
      <c r="G6" s="73" t="str">
        <f t="shared" ca="1" si="0"/>
        <v>VENCIDO</v>
      </c>
      <c r="H6" s="167"/>
      <c r="I6" s="66">
        <v>3824</v>
      </c>
      <c r="J6" s="66" t="s">
        <v>88</v>
      </c>
      <c r="K6" s="66" t="s">
        <v>84</v>
      </c>
      <c r="L6" s="67">
        <v>45808</v>
      </c>
      <c r="M6" s="73" t="str">
        <f t="shared" ca="1" si="1"/>
        <v>VENCIDO</v>
      </c>
      <c r="N6" s="167"/>
      <c r="O6" s="66">
        <v>3824</v>
      </c>
      <c r="P6" s="66" t="s">
        <v>88</v>
      </c>
      <c r="Q6" s="66" t="s">
        <v>84</v>
      </c>
      <c r="R6" s="67">
        <v>45808</v>
      </c>
      <c r="S6" s="73" t="str">
        <f t="shared" ca="1" si="2"/>
        <v>VENCIDO</v>
      </c>
      <c r="T6" s="167"/>
      <c r="U6" s="66">
        <v>3824</v>
      </c>
      <c r="V6" s="66" t="s">
        <v>88</v>
      </c>
      <c r="W6" s="66" t="s">
        <v>84</v>
      </c>
      <c r="X6" s="67">
        <v>45808</v>
      </c>
      <c r="Y6" s="73" t="str">
        <f t="shared" ca="1" si="3"/>
        <v>VENCIDO</v>
      </c>
      <c r="Z6" s="66">
        <v>1223</v>
      </c>
      <c r="AA6" s="66" t="s">
        <v>82</v>
      </c>
      <c r="AB6" s="66" t="s">
        <v>81</v>
      </c>
      <c r="AC6" s="67">
        <v>45687</v>
      </c>
      <c r="AD6" s="73" t="str">
        <f t="shared" ca="1" si="4"/>
        <v>VENCIDO</v>
      </c>
    </row>
    <row r="7" spans="1:30" x14ac:dyDescent="0.3">
      <c r="A7" s="68">
        <v>264</v>
      </c>
      <c r="B7" s="65" t="s">
        <v>71</v>
      </c>
      <c r="C7" s="66">
        <v>223</v>
      </c>
      <c r="D7" s="66" t="s">
        <v>85</v>
      </c>
      <c r="E7" s="66" t="s">
        <v>81</v>
      </c>
      <c r="F7" s="67">
        <v>45687</v>
      </c>
      <c r="G7" s="73" t="str">
        <f t="shared" ca="1" si="0"/>
        <v>VENCIDO</v>
      </c>
      <c r="H7" s="167"/>
      <c r="I7" s="66">
        <v>4323</v>
      </c>
      <c r="J7" s="66" t="s">
        <v>82</v>
      </c>
      <c r="K7" s="66" t="s">
        <v>81</v>
      </c>
      <c r="L7" s="67">
        <v>45687</v>
      </c>
      <c r="M7" s="73" t="str">
        <f t="shared" ca="1" si="1"/>
        <v>VENCIDO</v>
      </c>
      <c r="N7" s="167"/>
      <c r="O7" s="66">
        <v>223</v>
      </c>
      <c r="P7" s="66" t="s">
        <v>85</v>
      </c>
      <c r="Q7" s="66" t="s">
        <v>81</v>
      </c>
      <c r="R7" s="67">
        <v>45687</v>
      </c>
      <c r="S7" s="73" t="str">
        <f t="shared" ca="1" si="2"/>
        <v>VENCIDO</v>
      </c>
      <c r="T7" s="167"/>
      <c r="U7" s="66">
        <v>4323</v>
      </c>
      <c r="V7" s="66" t="s">
        <v>82</v>
      </c>
      <c r="W7" s="66" t="s">
        <v>81</v>
      </c>
      <c r="X7" s="67">
        <v>45687</v>
      </c>
      <c r="Y7" s="73" t="str">
        <f t="shared" ca="1" si="3"/>
        <v>VENCIDO</v>
      </c>
      <c r="Z7" s="66">
        <v>223</v>
      </c>
      <c r="AA7" s="66" t="s">
        <v>85</v>
      </c>
      <c r="AB7" s="66" t="s">
        <v>81</v>
      </c>
      <c r="AC7" s="67">
        <v>45687</v>
      </c>
      <c r="AD7" s="73" t="str">
        <f t="shared" ca="1" si="4"/>
        <v>VENCIDO</v>
      </c>
    </row>
    <row r="8" spans="1:30" x14ac:dyDescent="0.3">
      <c r="A8" s="68">
        <v>265</v>
      </c>
      <c r="B8" s="65" t="s">
        <v>72</v>
      </c>
      <c r="C8" s="66">
        <v>723</v>
      </c>
      <c r="D8" s="66" t="s">
        <v>85</v>
      </c>
      <c r="E8" s="66" t="s">
        <v>81</v>
      </c>
      <c r="F8" s="67">
        <v>45687</v>
      </c>
      <c r="G8" s="73" t="str">
        <f t="shared" ca="1" si="0"/>
        <v>VENCIDO</v>
      </c>
      <c r="H8" s="167"/>
      <c r="I8" s="66">
        <v>323</v>
      </c>
      <c r="J8" s="66" t="s">
        <v>85</v>
      </c>
      <c r="K8" s="66" t="s">
        <v>81</v>
      </c>
      <c r="L8" s="67">
        <v>45687</v>
      </c>
      <c r="M8" s="73" t="str">
        <f t="shared" ca="1" si="1"/>
        <v>VENCIDO</v>
      </c>
      <c r="N8" s="167"/>
      <c r="O8" s="66">
        <v>4723</v>
      </c>
      <c r="P8" s="66" t="s">
        <v>80</v>
      </c>
      <c r="Q8" s="66" t="s">
        <v>81</v>
      </c>
      <c r="R8" s="67">
        <v>45687</v>
      </c>
      <c r="S8" s="73" t="str">
        <f t="shared" ca="1" si="2"/>
        <v>VENCIDO</v>
      </c>
      <c r="T8" s="167"/>
      <c r="U8" s="66">
        <v>4723</v>
      </c>
      <c r="V8" s="66" t="s">
        <v>80</v>
      </c>
      <c r="W8" s="66" t="s">
        <v>81</v>
      </c>
      <c r="X8" s="67">
        <v>45687</v>
      </c>
      <c r="Y8" s="73" t="str">
        <f t="shared" ca="1" si="3"/>
        <v>VENCIDO</v>
      </c>
      <c r="Z8" s="66">
        <v>323</v>
      </c>
      <c r="AA8" s="66" t="s">
        <v>85</v>
      </c>
      <c r="AB8" s="66" t="s">
        <v>81</v>
      </c>
      <c r="AC8" s="67">
        <v>45687</v>
      </c>
      <c r="AD8" s="73" t="str">
        <f t="shared" ca="1" si="4"/>
        <v>VENCIDO</v>
      </c>
    </row>
    <row r="9" spans="1:30" x14ac:dyDescent="0.3">
      <c r="A9" s="68">
        <v>266</v>
      </c>
      <c r="B9" s="65" t="s">
        <v>73</v>
      </c>
      <c r="C9" s="66">
        <v>4323</v>
      </c>
      <c r="D9" s="66" t="s">
        <v>82</v>
      </c>
      <c r="E9" s="66" t="s">
        <v>81</v>
      </c>
      <c r="F9" s="67">
        <v>45687</v>
      </c>
      <c r="G9" s="73" t="str">
        <f t="shared" ca="1" si="0"/>
        <v>VENCIDO</v>
      </c>
      <c r="H9" s="167"/>
      <c r="I9" s="66">
        <v>4723</v>
      </c>
      <c r="J9" s="66" t="s">
        <v>82</v>
      </c>
      <c r="K9" s="66" t="s">
        <v>81</v>
      </c>
      <c r="L9" s="67">
        <v>45687</v>
      </c>
      <c r="M9" s="73" t="str">
        <f t="shared" ca="1" si="1"/>
        <v>VENCIDO</v>
      </c>
      <c r="N9" s="167"/>
      <c r="O9" s="66">
        <v>4723</v>
      </c>
      <c r="P9" s="66" t="s">
        <v>82</v>
      </c>
      <c r="Q9" s="66" t="s">
        <v>81</v>
      </c>
      <c r="R9" s="67">
        <v>45687</v>
      </c>
      <c r="S9" s="73" t="str">
        <f t="shared" ca="1" si="2"/>
        <v>VENCIDO</v>
      </c>
      <c r="T9" s="167"/>
      <c r="U9" s="66">
        <v>3723</v>
      </c>
      <c r="V9" s="66" t="s">
        <v>82</v>
      </c>
      <c r="W9" s="66" t="s">
        <v>81</v>
      </c>
      <c r="X9" s="67">
        <v>45687</v>
      </c>
      <c r="Y9" s="73" t="str">
        <f t="shared" ca="1" si="3"/>
        <v>VENCIDO</v>
      </c>
      <c r="Z9" s="66">
        <v>322</v>
      </c>
      <c r="AA9" s="66" t="s">
        <v>85</v>
      </c>
      <c r="AB9" s="66" t="s">
        <v>81</v>
      </c>
      <c r="AC9" s="67">
        <v>45687</v>
      </c>
      <c r="AD9" s="73" t="str">
        <f t="shared" ca="1" si="4"/>
        <v>VENCIDO</v>
      </c>
    </row>
    <row r="10" spans="1:30" x14ac:dyDescent="0.3">
      <c r="A10" s="68">
        <v>267</v>
      </c>
      <c r="B10" s="65" t="s">
        <v>74</v>
      </c>
      <c r="C10" s="66">
        <v>2124</v>
      </c>
      <c r="D10" s="66" t="s">
        <v>83</v>
      </c>
      <c r="E10" s="66" t="s">
        <v>84</v>
      </c>
      <c r="F10" s="67">
        <v>45687</v>
      </c>
      <c r="G10" s="73" t="str">
        <f t="shared" ca="1" si="0"/>
        <v>VENCIDO</v>
      </c>
      <c r="H10" s="167"/>
      <c r="I10" s="66">
        <v>1524</v>
      </c>
      <c r="J10" s="66" t="s">
        <v>83</v>
      </c>
      <c r="K10" s="66" t="s">
        <v>84</v>
      </c>
      <c r="L10" s="67">
        <v>45687</v>
      </c>
      <c r="M10" s="73" t="str">
        <f t="shared" ca="1" si="1"/>
        <v>VENCIDO</v>
      </c>
      <c r="N10" s="167"/>
      <c r="O10" s="66">
        <v>2224</v>
      </c>
      <c r="P10" s="66" t="s">
        <v>83</v>
      </c>
      <c r="Q10" s="66" t="s">
        <v>84</v>
      </c>
      <c r="R10" s="67">
        <v>45687</v>
      </c>
      <c r="S10" s="73" t="str">
        <f t="shared" ca="1" si="2"/>
        <v>VENCIDO</v>
      </c>
      <c r="T10" s="167"/>
      <c r="U10" s="66">
        <v>2224</v>
      </c>
      <c r="V10" s="66" t="s">
        <v>83</v>
      </c>
      <c r="W10" s="66" t="s">
        <v>84</v>
      </c>
      <c r="X10" s="67">
        <v>45687</v>
      </c>
      <c r="Y10" s="73" t="str">
        <f t="shared" ca="1" si="3"/>
        <v>VENCIDO</v>
      </c>
      <c r="Z10" s="66">
        <v>323</v>
      </c>
      <c r="AA10" s="66" t="s">
        <v>85</v>
      </c>
      <c r="AB10" s="66" t="s">
        <v>81</v>
      </c>
      <c r="AC10" s="67">
        <v>45321</v>
      </c>
      <c r="AD10" s="73" t="str">
        <f t="shared" ca="1" si="4"/>
        <v>VENCIDO</v>
      </c>
    </row>
    <row r="11" spans="1:30" x14ac:dyDescent="0.3">
      <c r="A11" s="76">
        <v>268</v>
      </c>
      <c r="B11" s="65" t="s">
        <v>75</v>
      </c>
      <c r="C11" s="66">
        <v>3824</v>
      </c>
      <c r="D11" s="66" t="s">
        <v>88</v>
      </c>
      <c r="E11" s="66" t="s">
        <v>84</v>
      </c>
      <c r="F11" s="67">
        <v>45875</v>
      </c>
      <c r="G11" s="73" t="str">
        <f t="shared" ca="1" si="0"/>
        <v>VENCIDO</v>
      </c>
      <c r="H11" s="167"/>
      <c r="I11" s="66">
        <v>3824</v>
      </c>
      <c r="J11" s="66" t="s">
        <v>88</v>
      </c>
      <c r="K11" s="66" t="s">
        <v>84</v>
      </c>
      <c r="L11" s="67">
        <v>45875</v>
      </c>
      <c r="M11" s="73" t="str">
        <f t="shared" ca="1" si="1"/>
        <v>VENCIDO</v>
      </c>
      <c r="N11" s="167"/>
      <c r="O11" s="66">
        <v>2124</v>
      </c>
      <c r="P11" s="66" t="s">
        <v>83</v>
      </c>
      <c r="Q11" s="66" t="s">
        <v>84</v>
      </c>
      <c r="R11" s="67">
        <v>45321</v>
      </c>
      <c r="S11" s="73" t="str">
        <f t="shared" ca="1" si="2"/>
        <v>VENCIDO</v>
      </c>
      <c r="T11" s="167"/>
      <c r="U11" s="66">
        <v>1524</v>
      </c>
      <c r="V11" s="66" t="s">
        <v>83</v>
      </c>
      <c r="W11" s="66" t="s">
        <v>84</v>
      </c>
      <c r="X11" s="67">
        <v>45687</v>
      </c>
      <c r="Y11" s="73" t="str">
        <f t="shared" ca="1" si="3"/>
        <v>VENCIDO</v>
      </c>
      <c r="Z11" s="66">
        <v>1223</v>
      </c>
      <c r="AA11" s="66" t="s">
        <v>82</v>
      </c>
      <c r="AB11" s="66" t="s">
        <v>81</v>
      </c>
      <c r="AC11" s="67">
        <v>45687</v>
      </c>
      <c r="AD11" s="73" t="str">
        <f t="shared" ca="1" si="4"/>
        <v>VENCIDO</v>
      </c>
    </row>
    <row r="12" spans="1:30" x14ac:dyDescent="0.3">
      <c r="A12" s="76">
        <v>271</v>
      </c>
      <c r="B12" s="77" t="s">
        <v>76</v>
      </c>
      <c r="C12" s="66">
        <v>3824</v>
      </c>
      <c r="D12" s="66" t="s">
        <v>88</v>
      </c>
      <c r="E12" s="66" t="s">
        <v>84</v>
      </c>
      <c r="F12" s="67">
        <v>45798</v>
      </c>
      <c r="G12" s="73" t="str">
        <f t="shared" ca="1" si="0"/>
        <v>VENCIDO</v>
      </c>
      <c r="H12" s="167"/>
      <c r="I12" s="66">
        <v>3824</v>
      </c>
      <c r="J12" s="66" t="s">
        <v>88</v>
      </c>
      <c r="K12" s="66" t="s">
        <v>84</v>
      </c>
      <c r="L12" s="67">
        <v>45798</v>
      </c>
      <c r="M12" s="73" t="str">
        <f t="shared" ca="1" si="1"/>
        <v>VENCIDO</v>
      </c>
      <c r="N12" s="167"/>
      <c r="O12" s="66">
        <v>3824</v>
      </c>
      <c r="P12" s="66" t="s">
        <v>88</v>
      </c>
      <c r="Q12" s="66" t="s">
        <v>84</v>
      </c>
      <c r="R12" s="67">
        <v>45798</v>
      </c>
      <c r="S12" s="73" t="str">
        <f t="shared" ca="1" si="2"/>
        <v>VENCIDO</v>
      </c>
      <c r="T12" s="167"/>
      <c r="U12" s="66">
        <v>3824</v>
      </c>
      <c r="V12" s="66" t="s">
        <v>88</v>
      </c>
      <c r="W12" s="66" t="s">
        <v>84</v>
      </c>
      <c r="X12" s="67">
        <v>45798</v>
      </c>
      <c r="Y12" s="73" t="str">
        <f t="shared" ca="1" si="3"/>
        <v>VENCIDO</v>
      </c>
      <c r="Z12" s="66">
        <v>4922</v>
      </c>
      <c r="AA12" s="66" t="s">
        <v>85</v>
      </c>
      <c r="AB12" s="66" t="s">
        <v>81</v>
      </c>
      <c r="AC12" s="67">
        <v>45687</v>
      </c>
      <c r="AD12" s="73" t="str">
        <f t="shared" ca="1" si="4"/>
        <v>VENCIDO</v>
      </c>
    </row>
    <row r="13" spans="1:30" x14ac:dyDescent="0.3">
      <c r="A13" s="64">
        <v>272</v>
      </c>
      <c r="B13" s="77" t="s">
        <v>77</v>
      </c>
      <c r="C13" s="66">
        <v>3824</v>
      </c>
      <c r="D13" s="66" t="s">
        <v>88</v>
      </c>
      <c r="E13" s="66" t="s">
        <v>84</v>
      </c>
      <c r="F13" s="67">
        <v>45875</v>
      </c>
      <c r="G13" s="73" t="str">
        <f t="shared" ca="1" si="0"/>
        <v>VENCIDO</v>
      </c>
      <c r="H13" s="167"/>
      <c r="I13" s="66">
        <v>3824</v>
      </c>
      <c r="J13" s="66" t="s">
        <v>88</v>
      </c>
      <c r="K13" s="66" t="s">
        <v>84</v>
      </c>
      <c r="L13" s="67">
        <v>45875</v>
      </c>
      <c r="M13" s="73" t="str">
        <f t="shared" ca="1" si="1"/>
        <v>VENCIDO</v>
      </c>
      <c r="N13" s="167"/>
      <c r="O13" s="66">
        <v>4723</v>
      </c>
      <c r="P13" s="66" t="s">
        <v>80</v>
      </c>
      <c r="Q13" s="66" t="s">
        <v>81</v>
      </c>
      <c r="R13" s="67">
        <v>45687</v>
      </c>
      <c r="S13" s="73" t="str">
        <f t="shared" ca="1" si="2"/>
        <v>VENCIDO</v>
      </c>
      <c r="T13" s="167"/>
      <c r="U13" s="66">
        <v>4723</v>
      </c>
      <c r="V13" s="66" t="s">
        <v>80</v>
      </c>
      <c r="W13" s="66" t="s">
        <v>81</v>
      </c>
      <c r="X13" s="67">
        <v>45687</v>
      </c>
      <c r="Y13" s="73" t="str">
        <f t="shared" ca="1" si="3"/>
        <v>VENCIDO</v>
      </c>
      <c r="Z13" s="66">
        <v>1223</v>
      </c>
      <c r="AA13" s="66" t="s">
        <v>82</v>
      </c>
      <c r="AB13" s="66" t="s">
        <v>81</v>
      </c>
      <c r="AC13" s="67">
        <v>45687</v>
      </c>
      <c r="AD13" s="73" t="str">
        <f t="shared" ca="1" si="4"/>
        <v>VENCIDO</v>
      </c>
    </row>
    <row r="14" spans="1:30" x14ac:dyDescent="0.3">
      <c r="A14" s="64">
        <v>282</v>
      </c>
      <c r="B14" s="65" t="s">
        <v>78</v>
      </c>
      <c r="C14" s="66"/>
      <c r="D14" s="66" t="s">
        <v>89</v>
      </c>
      <c r="E14" s="66" t="s">
        <v>90</v>
      </c>
      <c r="F14" s="67">
        <v>45829</v>
      </c>
      <c r="G14" s="73" t="str">
        <f t="shared" ref="G14:G15" ca="1" si="5">IF(F14&lt;TODAY(),"VENCIDO",IF(F14=TODAY(),"VENCE HOY",IF(F14&gt;TODAY(),"")))</f>
        <v>VENCIDO</v>
      </c>
      <c r="H14" s="69"/>
      <c r="I14" s="66"/>
      <c r="J14" s="66" t="s">
        <v>89</v>
      </c>
      <c r="K14" s="66" t="s">
        <v>90</v>
      </c>
      <c r="L14" s="67">
        <v>45829</v>
      </c>
      <c r="M14" s="73" t="str">
        <f t="shared" ref="M14:M15" ca="1" si="6">IF(L14&lt;TODAY(),"VENCIDO",IF(L14=TODAY(),"VENCE HOY",IF(L14&gt;TODAY(),"")))</f>
        <v>VENCIDO</v>
      </c>
      <c r="N14" s="69"/>
      <c r="O14" s="66"/>
      <c r="P14" s="66" t="s">
        <v>89</v>
      </c>
      <c r="Q14" s="66" t="s">
        <v>90</v>
      </c>
      <c r="R14" s="67">
        <v>45829</v>
      </c>
      <c r="S14" s="73" t="str">
        <f t="shared" ref="S14:S15" ca="1" si="7">IF(R14&lt;TODAY(),"VENCIDO",IF(R14=TODAY(),"VENCE HOY",IF(R14&gt;TODAY(),"")))</f>
        <v>VENCIDO</v>
      </c>
      <c r="T14" s="69"/>
      <c r="U14" s="66"/>
      <c r="V14" s="66" t="s">
        <v>89</v>
      </c>
      <c r="W14" s="66" t="s">
        <v>90</v>
      </c>
      <c r="X14" s="67">
        <v>45829</v>
      </c>
      <c r="Y14" s="73" t="str">
        <f t="shared" ref="Y14:Y15" ca="1" si="8">IF(X14&lt;TODAY(),"VENCIDO",IF(X14=TODAY(),"VENCE HOY",IF(X14&gt;TODAY(),"")))</f>
        <v>VENCIDO</v>
      </c>
      <c r="Z14" s="66"/>
      <c r="AA14" s="66" t="s">
        <v>86</v>
      </c>
      <c r="AB14" s="66" t="s">
        <v>87</v>
      </c>
      <c r="AC14" s="67">
        <v>45687</v>
      </c>
      <c r="AD14" s="73" t="str">
        <f t="shared" ca="1" si="4"/>
        <v>VENCIDO</v>
      </c>
    </row>
    <row r="15" spans="1:30" x14ac:dyDescent="0.3">
      <c r="A15" s="64">
        <v>283</v>
      </c>
      <c r="B15" s="65" t="s">
        <v>79</v>
      </c>
      <c r="C15" s="66"/>
      <c r="D15" s="66" t="s">
        <v>89</v>
      </c>
      <c r="E15" s="66" t="s">
        <v>90</v>
      </c>
      <c r="F15" s="67">
        <v>45822</v>
      </c>
      <c r="G15" s="73" t="str">
        <f t="shared" ca="1" si="5"/>
        <v>VENCIDO</v>
      </c>
      <c r="H15" s="69"/>
      <c r="I15" s="66"/>
      <c r="J15" s="66" t="s">
        <v>89</v>
      </c>
      <c r="K15" s="66" t="s">
        <v>90</v>
      </c>
      <c r="L15" s="67">
        <v>45822</v>
      </c>
      <c r="M15" s="73" t="str">
        <f t="shared" ca="1" si="6"/>
        <v>VENCIDO</v>
      </c>
      <c r="N15" s="69"/>
      <c r="O15" s="66"/>
      <c r="P15" s="66" t="s">
        <v>89</v>
      </c>
      <c r="Q15" s="66" t="s">
        <v>90</v>
      </c>
      <c r="R15" s="67">
        <v>45822</v>
      </c>
      <c r="S15" s="73" t="str">
        <f t="shared" ca="1" si="7"/>
        <v>VENCIDO</v>
      </c>
      <c r="T15" s="69"/>
      <c r="U15" s="66"/>
      <c r="V15" s="66" t="s">
        <v>89</v>
      </c>
      <c r="W15" s="66" t="s">
        <v>90</v>
      </c>
      <c r="X15" s="67">
        <v>45822</v>
      </c>
      <c r="Y15" s="73" t="str">
        <f t="shared" ca="1" si="8"/>
        <v>VENCIDO</v>
      </c>
      <c r="Z15" s="66"/>
      <c r="AA15" s="66" t="s">
        <v>86</v>
      </c>
      <c r="AB15" s="66" t="s">
        <v>87</v>
      </c>
      <c r="AC15" s="67">
        <v>45687</v>
      </c>
      <c r="AD15" s="73" t="str">
        <f t="shared" ca="1" si="4"/>
        <v>VENCIDO</v>
      </c>
    </row>
    <row r="16" spans="1:30" x14ac:dyDescent="0.3">
      <c r="A16" s="64">
        <v>311</v>
      </c>
      <c r="B16" s="65" t="s">
        <v>79</v>
      </c>
      <c r="C16" s="66"/>
      <c r="D16" s="66"/>
      <c r="E16" s="66"/>
      <c r="F16" s="67"/>
      <c r="G16" s="73" t="str">
        <f t="shared" ref="G16" ca="1" si="9">IF(F16&lt;TODAY(),"VENCIDO",IF(F16=TODAY(),"VENCE HOY",IF(F16&gt;TODAY(),"")))</f>
        <v>VENCIDO</v>
      </c>
      <c r="H16" s="69"/>
      <c r="I16" s="66"/>
      <c r="J16" s="66"/>
      <c r="K16" s="66"/>
      <c r="L16" s="67"/>
      <c r="M16" s="73" t="str">
        <f t="shared" ref="M16" ca="1" si="10">IF(L16&lt;TODAY(),"VENCIDO",IF(L16=TODAY(),"VENCE HOY",IF(L16&gt;TODAY(),"")))</f>
        <v>VENCIDO</v>
      </c>
      <c r="N16" s="69"/>
      <c r="O16" s="66"/>
      <c r="P16" s="66"/>
      <c r="Q16" s="66"/>
      <c r="R16" s="67"/>
      <c r="S16" s="73" t="str">
        <f t="shared" ref="S16" ca="1" si="11">IF(R16&lt;TODAY(),"VENCIDO",IF(R16=TODAY(),"VENCE HOY",IF(R16&gt;TODAY(),"")))</f>
        <v>VENCIDO</v>
      </c>
      <c r="T16" s="69"/>
      <c r="U16" s="66"/>
      <c r="V16" s="66"/>
      <c r="W16" s="66"/>
      <c r="X16" s="67"/>
      <c r="Y16" s="73" t="str">
        <f t="shared" ref="Y16" ca="1" si="12">IF(X16&lt;TODAY(),"VENCIDO",IF(X16=TODAY(),"VENCE HOY",IF(X16&gt;TODAY(),"")))</f>
        <v>VENCIDO</v>
      </c>
      <c r="Z16" s="66"/>
      <c r="AA16" s="66"/>
      <c r="AB16" s="66"/>
      <c r="AC16" s="67"/>
      <c r="AD16" s="73" t="str">
        <f t="shared" ref="AD16" ca="1" si="13">IF(AC16&lt;TODAY(),"VENCIDO",IF(AC16=TODAY(),"VENCE HOY",IF(AC16&gt;TODAY(),"")))</f>
        <v>VENCIDO</v>
      </c>
    </row>
  </sheetData>
  <sheetProtection algorithmName="SHA-512" hashValue="2GGPGmIfS58q9skWl201WLpNXXFpHV5wz4pmtbYy1J1DcQylMDT9MGc7mZ3TQYzLmQxEAmZUu6/dXx+cRyjLUw==" saltValue="vbwslzR0MNAzHYHyCiqBVg==" spinCount="100000" sheet="1" objects="1" scenarios="1"/>
  <mergeCells count="13">
    <mergeCell ref="U1:X1"/>
    <mergeCell ref="U2:X2"/>
    <mergeCell ref="Z1:AC1"/>
    <mergeCell ref="Z2:AC2"/>
    <mergeCell ref="T2:T13"/>
    <mergeCell ref="O1:R1"/>
    <mergeCell ref="O2:R2"/>
    <mergeCell ref="H1:H13"/>
    <mergeCell ref="N1:N13"/>
    <mergeCell ref="C1:F1"/>
    <mergeCell ref="C2:F2"/>
    <mergeCell ref="I1:L1"/>
    <mergeCell ref="I2:L2"/>
  </mergeCells>
  <conditionalFormatting sqref="G4:G16 M4:M16 S4:S16 Y4:Y16">
    <cfRule type="expression" dxfId="5" priority="12">
      <formula>$H4="VENCIDA"</formula>
    </cfRule>
  </conditionalFormatting>
  <conditionalFormatting sqref="G4:G16">
    <cfRule type="expression" dxfId="4" priority="8">
      <formula>$G4="VENCIDO"</formula>
    </cfRule>
  </conditionalFormatting>
  <conditionalFormatting sqref="M4:M16">
    <cfRule type="expression" dxfId="3" priority="7">
      <formula>$M4="VENCIDO"</formula>
    </cfRule>
  </conditionalFormatting>
  <conditionalFormatting sqref="S4:S16">
    <cfRule type="expression" dxfId="2" priority="6">
      <formula>$S4="VENCIDO"</formula>
    </cfRule>
  </conditionalFormatting>
  <conditionalFormatting sqref="Y4:Y16">
    <cfRule type="expression" dxfId="1" priority="5">
      <formula>$Y4="VENCIDO"</formula>
    </cfRule>
  </conditionalFormatting>
  <conditionalFormatting sqref="AD4:AD16">
    <cfRule type="expression" dxfId="0" priority="1">
      <formula>$AD4="VENCIDO"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2:Z23"/>
  <sheetViews>
    <sheetView zoomScale="70" zoomScaleNormal="70" workbookViewId="0">
      <selection activeCell="A4" sqref="A4:B23"/>
    </sheetView>
  </sheetViews>
  <sheetFormatPr baseColWidth="10" defaultRowHeight="15" x14ac:dyDescent="0.25"/>
  <cols>
    <col min="2" max="2" width="13.5703125" bestFit="1" customWidth="1"/>
    <col min="3" max="3" width="12.85546875" bestFit="1" customWidth="1"/>
    <col min="4" max="4" width="11.140625" customWidth="1"/>
    <col min="5" max="5" width="12.85546875" bestFit="1" customWidth="1"/>
    <col min="6" max="7" width="12.85546875" customWidth="1"/>
  </cols>
  <sheetData>
    <row r="2" spans="1:26" s="7" customFormat="1" ht="42" customHeight="1" x14ac:dyDescent="0.25">
      <c r="C2" s="174" t="s">
        <v>35</v>
      </c>
      <c r="D2" s="174"/>
      <c r="E2" s="174"/>
      <c r="F2" s="174"/>
      <c r="G2" s="174"/>
      <c r="H2" s="174"/>
      <c r="I2" s="175" t="s">
        <v>36</v>
      </c>
      <c r="J2" s="175"/>
      <c r="K2" s="175"/>
      <c r="L2" s="175"/>
      <c r="M2" s="175"/>
      <c r="N2" s="175"/>
      <c r="O2" s="174" t="s">
        <v>37</v>
      </c>
      <c r="P2" s="174"/>
      <c r="Q2" s="174"/>
      <c r="R2" s="174"/>
      <c r="S2" s="174"/>
      <c r="T2" s="174"/>
      <c r="U2" s="175" t="s">
        <v>38</v>
      </c>
      <c r="V2" s="175"/>
      <c r="W2" s="175"/>
      <c r="X2" s="175"/>
      <c r="Y2" s="175"/>
      <c r="Z2" s="175"/>
    </row>
    <row r="3" spans="1:26" s="14" customFormat="1" ht="30" x14ac:dyDescent="0.25">
      <c r="A3" s="8" t="s">
        <v>0</v>
      </c>
      <c r="B3" s="9" t="s">
        <v>1</v>
      </c>
      <c r="C3" s="10" t="s">
        <v>54</v>
      </c>
      <c r="D3" s="10" t="s">
        <v>7</v>
      </c>
      <c r="E3" s="10" t="s">
        <v>11</v>
      </c>
      <c r="F3" s="10" t="s">
        <v>34</v>
      </c>
      <c r="G3" s="10" t="s">
        <v>7</v>
      </c>
      <c r="H3" s="11" t="s">
        <v>32</v>
      </c>
      <c r="I3" s="12" t="s">
        <v>54</v>
      </c>
      <c r="J3" s="12" t="s">
        <v>7</v>
      </c>
      <c r="K3" s="12" t="s">
        <v>11</v>
      </c>
      <c r="L3" s="12" t="s">
        <v>34</v>
      </c>
      <c r="M3" s="12" t="s">
        <v>7</v>
      </c>
      <c r="N3" s="13" t="s">
        <v>32</v>
      </c>
      <c r="O3" s="10" t="s">
        <v>54</v>
      </c>
      <c r="P3" s="10" t="s">
        <v>7</v>
      </c>
      <c r="Q3" s="10" t="s">
        <v>11</v>
      </c>
      <c r="R3" s="10" t="s">
        <v>34</v>
      </c>
      <c r="S3" s="10" t="s">
        <v>7</v>
      </c>
      <c r="T3" s="11" t="s">
        <v>32</v>
      </c>
      <c r="U3" s="12" t="s">
        <v>54</v>
      </c>
      <c r="V3" s="12" t="s">
        <v>7</v>
      </c>
      <c r="W3" s="12" t="s">
        <v>11</v>
      </c>
      <c r="X3" s="12" t="s">
        <v>34</v>
      </c>
      <c r="Y3" s="12" t="s">
        <v>7</v>
      </c>
      <c r="Z3" s="13" t="s">
        <v>32</v>
      </c>
    </row>
    <row r="4" spans="1:26" ht="28.5" customHeight="1" x14ac:dyDescent="0.25">
      <c r="A4" s="68"/>
      <c r="B4" s="65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4"/>
      <c r="P4" s="4"/>
      <c r="Q4" s="4"/>
      <c r="R4" s="4"/>
      <c r="S4" s="4"/>
      <c r="T4" s="4"/>
      <c r="U4" s="5"/>
      <c r="V4" s="5"/>
      <c r="W4" s="5"/>
      <c r="X4" s="5"/>
      <c r="Y4" s="5"/>
      <c r="Z4" s="5"/>
    </row>
    <row r="5" spans="1:26" ht="28.5" customHeight="1" x14ac:dyDescent="0.25">
      <c r="A5" s="68"/>
      <c r="B5" s="65"/>
      <c r="C5" s="4"/>
      <c r="D5" s="4"/>
      <c r="E5" s="4"/>
      <c r="F5" s="4"/>
      <c r="G5" s="4"/>
      <c r="H5" s="4"/>
      <c r="I5" s="5"/>
      <c r="J5" s="5"/>
      <c r="K5" s="5"/>
      <c r="L5" s="5"/>
      <c r="M5" s="5"/>
      <c r="N5" s="5"/>
      <c r="O5" s="4"/>
      <c r="P5" s="4"/>
      <c r="Q5" s="4"/>
      <c r="R5" s="4"/>
      <c r="S5" s="4"/>
      <c r="T5" s="4"/>
      <c r="U5" s="5"/>
      <c r="V5" s="5"/>
      <c r="W5" s="5"/>
      <c r="X5" s="5"/>
      <c r="Y5" s="5"/>
      <c r="Z5" s="5"/>
    </row>
    <row r="6" spans="1:26" ht="28.5" customHeight="1" x14ac:dyDescent="0.25">
      <c r="A6" s="68"/>
      <c r="B6" s="65"/>
      <c r="C6" s="4"/>
      <c r="D6" s="4"/>
      <c r="E6" s="4"/>
      <c r="F6" s="4"/>
      <c r="G6" s="4"/>
      <c r="H6" s="4"/>
      <c r="I6" s="5"/>
      <c r="J6" s="5"/>
      <c r="K6" s="5"/>
      <c r="L6" s="5"/>
      <c r="M6" s="5"/>
      <c r="N6" s="5"/>
      <c r="O6" s="4"/>
      <c r="P6" s="4"/>
      <c r="Q6" s="4"/>
      <c r="R6" s="4"/>
      <c r="S6" s="4"/>
      <c r="T6" s="4"/>
      <c r="U6" s="5"/>
      <c r="V6" s="5"/>
      <c r="W6" s="5"/>
      <c r="X6" s="5"/>
      <c r="Y6" s="5"/>
      <c r="Z6" s="5"/>
    </row>
    <row r="7" spans="1:26" ht="28.5" customHeight="1" x14ac:dyDescent="0.25">
      <c r="A7" s="68"/>
      <c r="B7" s="65"/>
      <c r="C7" s="4"/>
      <c r="D7" s="4"/>
      <c r="E7" s="4"/>
      <c r="F7" s="4"/>
      <c r="G7" s="4"/>
      <c r="H7" s="4"/>
      <c r="I7" s="5"/>
      <c r="J7" s="5"/>
      <c r="K7" s="5"/>
      <c r="L7" s="5"/>
      <c r="M7" s="5"/>
      <c r="N7" s="5"/>
      <c r="O7" s="4"/>
      <c r="P7" s="4"/>
      <c r="Q7" s="4"/>
      <c r="R7" s="4"/>
      <c r="S7" s="4"/>
      <c r="T7" s="4"/>
      <c r="U7" s="5"/>
      <c r="V7" s="5"/>
      <c r="W7" s="5"/>
      <c r="X7" s="5"/>
      <c r="Y7" s="5"/>
      <c r="Z7" s="5"/>
    </row>
    <row r="8" spans="1:26" ht="28.5" customHeight="1" x14ac:dyDescent="0.25">
      <c r="A8" s="68"/>
      <c r="B8" s="65"/>
      <c r="C8" s="4"/>
      <c r="D8" s="4"/>
      <c r="E8" s="4"/>
      <c r="F8" s="4"/>
      <c r="G8" s="4"/>
      <c r="H8" s="4"/>
      <c r="I8" s="5"/>
      <c r="J8" s="5"/>
      <c r="K8" s="5"/>
      <c r="L8" s="5"/>
      <c r="M8" s="5"/>
      <c r="N8" s="5"/>
      <c r="O8" s="4"/>
      <c r="P8" s="4"/>
      <c r="Q8" s="4"/>
      <c r="R8" s="4"/>
      <c r="S8" s="4"/>
      <c r="T8" s="4"/>
      <c r="U8" s="5"/>
      <c r="V8" s="5"/>
      <c r="W8" s="5"/>
      <c r="X8" s="5"/>
      <c r="Y8" s="5"/>
      <c r="Z8" s="5"/>
    </row>
    <row r="9" spans="1:26" ht="28.5" customHeight="1" x14ac:dyDescent="0.25">
      <c r="A9" s="68"/>
      <c r="B9" s="65"/>
      <c r="C9" s="4"/>
      <c r="D9" s="4"/>
      <c r="E9" s="4"/>
      <c r="F9" s="4"/>
      <c r="G9" s="4"/>
      <c r="H9" s="4"/>
      <c r="I9" s="5"/>
      <c r="J9" s="5"/>
      <c r="K9" s="5"/>
      <c r="L9" s="5"/>
      <c r="M9" s="5"/>
      <c r="N9" s="5"/>
      <c r="O9" s="4"/>
      <c r="P9" s="4"/>
      <c r="Q9" s="4"/>
      <c r="R9" s="4"/>
      <c r="S9" s="4"/>
      <c r="T9" s="4"/>
      <c r="U9" s="5"/>
      <c r="V9" s="5"/>
      <c r="W9" s="5"/>
      <c r="X9" s="5"/>
      <c r="Y9" s="5"/>
      <c r="Z9" s="5"/>
    </row>
    <row r="10" spans="1:26" ht="28.5" customHeight="1" x14ac:dyDescent="0.25">
      <c r="A10" s="68"/>
      <c r="B10" s="65"/>
      <c r="C10" s="4"/>
      <c r="D10" s="4"/>
      <c r="E10" s="4"/>
      <c r="F10" s="4"/>
      <c r="G10" s="4"/>
      <c r="H10" s="4"/>
      <c r="I10" s="5"/>
      <c r="J10" s="5"/>
      <c r="K10" s="5"/>
      <c r="L10" s="5"/>
      <c r="M10" s="5"/>
      <c r="N10" s="5"/>
      <c r="O10" s="4"/>
      <c r="P10" s="4"/>
      <c r="Q10" s="4"/>
      <c r="R10" s="4"/>
      <c r="S10" s="4"/>
      <c r="T10" s="4"/>
      <c r="U10" s="5"/>
      <c r="V10" s="5"/>
      <c r="W10" s="5"/>
      <c r="X10" s="5"/>
      <c r="Y10" s="5"/>
      <c r="Z10" s="5"/>
    </row>
    <row r="11" spans="1:26" ht="28.5" customHeight="1" x14ac:dyDescent="0.25">
      <c r="A11" s="76"/>
      <c r="B11" s="65"/>
      <c r="C11" s="4"/>
      <c r="D11" s="4"/>
      <c r="E11" s="4"/>
      <c r="F11" s="4"/>
      <c r="G11" s="4"/>
      <c r="H11" s="4"/>
      <c r="I11" s="5"/>
      <c r="J11" s="5"/>
      <c r="K11" s="5"/>
      <c r="L11" s="5"/>
      <c r="M11" s="5"/>
      <c r="N11" s="5"/>
      <c r="O11" s="4"/>
      <c r="P11" s="4"/>
      <c r="Q11" s="4"/>
      <c r="R11" s="4"/>
      <c r="S11" s="4"/>
      <c r="T11" s="4"/>
      <c r="U11" s="5"/>
      <c r="V11" s="5"/>
      <c r="W11" s="5"/>
      <c r="X11" s="5"/>
      <c r="Y11" s="5"/>
      <c r="Z11" s="5"/>
    </row>
    <row r="12" spans="1:26" ht="28.5" customHeight="1" x14ac:dyDescent="0.25">
      <c r="A12" s="76"/>
      <c r="B12" s="77"/>
      <c r="C12" s="4"/>
      <c r="D12" s="4"/>
      <c r="E12" s="4"/>
      <c r="F12" s="4"/>
      <c r="G12" s="4"/>
      <c r="H12" s="4"/>
      <c r="I12" s="5"/>
      <c r="J12" s="5"/>
      <c r="K12" s="5"/>
      <c r="L12" s="5"/>
      <c r="M12" s="5"/>
      <c r="N12" s="5"/>
      <c r="O12" s="4"/>
      <c r="P12" s="4"/>
      <c r="Q12" s="4"/>
      <c r="R12" s="4"/>
      <c r="S12" s="4"/>
      <c r="T12" s="4"/>
      <c r="U12" s="5"/>
      <c r="V12" s="5"/>
      <c r="W12" s="5"/>
      <c r="X12" s="5"/>
      <c r="Y12" s="5"/>
      <c r="Z12" s="5"/>
    </row>
    <row r="13" spans="1:26" ht="28.5" customHeight="1" x14ac:dyDescent="0.25">
      <c r="A13" s="64"/>
      <c r="B13" s="77"/>
      <c r="C13" s="4"/>
      <c r="D13" s="4"/>
      <c r="E13" s="4"/>
      <c r="F13" s="4"/>
      <c r="G13" s="4"/>
      <c r="H13" s="4"/>
      <c r="I13" s="5"/>
      <c r="J13" s="5"/>
      <c r="K13" s="5"/>
      <c r="L13" s="5"/>
      <c r="M13" s="5"/>
      <c r="N13" s="5"/>
      <c r="O13" s="4"/>
      <c r="P13" s="4"/>
      <c r="Q13" s="4"/>
      <c r="R13" s="4"/>
      <c r="S13" s="4"/>
      <c r="T13" s="4"/>
      <c r="U13" s="5"/>
      <c r="V13" s="5"/>
      <c r="W13" s="5"/>
      <c r="X13" s="5"/>
      <c r="Y13" s="5"/>
      <c r="Z13" s="5"/>
    </row>
    <row r="14" spans="1:26" ht="28.5" customHeight="1" x14ac:dyDescent="0.25">
      <c r="A14" s="64"/>
      <c r="B14" s="65"/>
      <c r="C14" s="4"/>
      <c r="D14" s="4"/>
      <c r="E14" s="4"/>
      <c r="F14" s="4"/>
      <c r="G14" s="4"/>
      <c r="H14" s="4"/>
      <c r="I14" s="5"/>
      <c r="J14" s="5"/>
      <c r="K14" s="5"/>
      <c r="L14" s="5"/>
      <c r="M14" s="5"/>
      <c r="N14" s="5"/>
      <c r="O14" s="4"/>
      <c r="P14" s="4"/>
      <c r="Q14" s="4"/>
      <c r="R14" s="4"/>
      <c r="S14" s="4"/>
      <c r="T14" s="4"/>
      <c r="U14" s="5"/>
      <c r="V14" s="5"/>
      <c r="W14" s="5"/>
      <c r="X14" s="5"/>
      <c r="Y14" s="5"/>
      <c r="Z14" s="5"/>
    </row>
    <row r="15" spans="1:26" ht="28.5" customHeight="1" x14ac:dyDescent="0.25">
      <c r="A15" s="68"/>
      <c r="B15" s="65"/>
      <c r="C15" s="4"/>
      <c r="D15" s="4"/>
      <c r="E15" s="4"/>
      <c r="F15" s="4"/>
      <c r="G15" s="4"/>
      <c r="H15" s="4"/>
      <c r="I15" s="5"/>
      <c r="J15" s="5"/>
      <c r="K15" s="5"/>
      <c r="L15" s="5"/>
      <c r="M15" s="5"/>
      <c r="N15" s="5"/>
      <c r="O15" s="4"/>
      <c r="P15" s="4"/>
      <c r="Q15" s="4"/>
      <c r="R15" s="4"/>
      <c r="S15" s="4"/>
      <c r="T15" s="4"/>
      <c r="U15" s="5"/>
      <c r="V15" s="5"/>
      <c r="W15" s="5"/>
      <c r="X15" s="5"/>
      <c r="Y15" s="5"/>
      <c r="Z15" s="5"/>
    </row>
    <row r="16" spans="1:26" ht="28.5" customHeight="1" x14ac:dyDescent="0.25">
      <c r="A16" s="68"/>
      <c r="B16" s="65"/>
      <c r="C16" s="4"/>
      <c r="D16" s="4"/>
      <c r="E16" s="4"/>
      <c r="F16" s="4"/>
      <c r="G16" s="4"/>
      <c r="H16" s="4"/>
      <c r="I16" s="5"/>
      <c r="J16" s="5"/>
      <c r="K16" s="5"/>
      <c r="L16" s="5"/>
      <c r="M16" s="5"/>
      <c r="N16" s="5"/>
      <c r="O16" s="4"/>
      <c r="P16" s="4"/>
      <c r="Q16" s="4"/>
      <c r="R16" s="4"/>
      <c r="S16" s="4"/>
      <c r="T16" s="4"/>
      <c r="U16" s="5"/>
      <c r="V16" s="5"/>
      <c r="W16" s="5"/>
      <c r="X16" s="5"/>
      <c r="Y16" s="5"/>
      <c r="Z16" s="5"/>
    </row>
    <row r="17" spans="1:26" ht="28.5" customHeight="1" x14ac:dyDescent="0.25">
      <c r="A17" s="68"/>
      <c r="B17" s="65"/>
      <c r="C17" s="4"/>
      <c r="D17" s="4"/>
      <c r="E17" s="4"/>
      <c r="F17" s="4"/>
      <c r="G17" s="4"/>
      <c r="H17" s="4"/>
      <c r="I17" s="5"/>
      <c r="J17" s="5"/>
      <c r="K17" s="5"/>
      <c r="L17" s="5"/>
      <c r="M17" s="5"/>
      <c r="N17" s="5"/>
      <c r="O17" s="4"/>
      <c r="P17" s="4"/>
      <c r="Q17" s="4"/>
      <c r="R17" s="4"/>
      <c r="S17" s="4"/>
      <c r="T17" s="4"/>
      <c r="U17" s="5"/>
      <c r="V17" s="5"/>
      <c r="W17" s="5"/>
      <c r="X17" s="5"/>
      <c r="Y17" s="5"/>
      <c r="Z17" s="5"/>
    </row>
    <row r="18" spans="1:26" ht="28.5" customHeight="1" x14ac:dyDescent="0.25">
      <c r="A18" s="68"/>
      <c r="B18" s="65"/>
      <c r="C18" s="4"/>
      <c r="D18" s="4"/>
      <c r="E18" s="4"/>
      <c r="F18" s="4"/>
      <c r="G18" s="4"/>
      <c r="H18" s="4"/>
      <c r="I18" s="5"/>
      <c r="J18" s="5"/>
      <c r="K18" s="5"/>
      <c r="L18" s="5"/>
      <c r="M18" s="5"/>
      <c r="N18" s="5"/>
      <c r="O18" s="4"/>
      <c r="P18" s="4"/>
      <c r="Q18" s="4"/>
      <c r="R18" s="4"/>
      <c r="S18" s="4"/>
      <c r="T18" s="4"/>
      <c r="U18" s="5"/>
      <c r="V18" s="5"/>
      <c r="W18" s="5"/>
      <c r="X18" s="5"/>
      <c r="Y18" s="5"/>
      <c r="Z18" s="5"/>
    </row>
    <row r="19" spans="1:26" ht="28.5" customHeight="1" x14ac:dyDescent="0.25">
      <c r="A19" s="68"/>
      <c r="B19" s="65"/>
      <c r="C19" s="4"/>
      <c r="D19" s="4"/>
      <c r="E19" s="4"/>
      <c r="F19" s="4"/>
      <c r="G19" s="4"/>
      <c r="H19" s="4"/>
      <c r="I19" s="5"/>
      <c r="J19" s="5"/>
      <c r="K19" s="5"/>
      <c r="L19" s="5"/>
      <c r="M19" s="5"/>
      <c r="N19" s="5"/>
      <c r="O19" s="4"/>
      <c r="P19" s="4"/>
      <c r="Q19" s="4"/>
      <c r="R19" s="4"/>
      <c r="S19" s="4"/>
      <c r="T19" s="4"/>
      <c r="U19" s="5"/>
      <c r="V19" s="5"/>
      <c r="W19" s="5"/>
      <c r="X19" s="5"/>
      <c r="Y19" s="5"/>
      <c r="Z19" s="5"/>
    </row>
    <row r="20" spans="1:26" ht="28.5" customHeight="1" x14ac:dyDescent="0.25">
      <c r="A20" s="68"/>
      <c r="B20" s="65"/>
      <c r="C20" s="4"/>
      <c r="D20" s="4"/>
      <c r="E20" s="4"/>
      <c r="F20" s="4"/>
      <c r="G20" s="4"/>
      <c r="H20" s="4"/>
      <c r="I20" s="5"/>
      <c r="J20" s="5"/>
      <c r="K20" s="5"/>
      <c r="L20" s="5"/>
      <c r="M20" s="5"/>
      <c r="N20" s="5"/>
      <c r="O20" s="4"/>
      <c r="P20" s="4"/>
      <c r="Q20" s="4"/>
      <c r="R20" s="4"/>
      <c r="S20" s="4"/>
      <c r="T20" s="4"/>
      <c r="U20" s="5"/>
      <c r="V20" s="5"/>
      <c r="W20" s="5"/>
      <c r="X20" s="5"/>
      <c r="Y20" s="5"/>
      <c r="Z20" s="5"/>
    </row>
    <row r="21" spans="1:26" ht="28.5" customHeight="1" x14ac:dyDescent="0.25">
      <c r="A21" s="68"/>
      <c r="B21" s="65"/>
      <c r="C21" s="4"/>
      <c r="D21" s="4"/>
      <c r="E21" s="4"/>
      <c r="F21" s="4"/>
      <c r="G21" s="4"/>
      <c r="H21" s="4"/>
      <c r="I21" s="5"/>
      <c r="J21" s="5"/>
      <c r="K21" s="5"/>
      <c r="L21" s="5"/>
      <c r="M21" s="5"/>
      <c r="N21" s="5"/>
      <c r="O21" s="4"/>
      <c r="P21" s="4"/>
      <c r="Q21" s="4"/>
      <c r="R21" s="4"/>
      <c r="S21" s="4"/>
      <c r="T21" s="4"/>
      <c r="U21" s="5"/>
      <c r="V21" s="5"/>
      <c r="W21" s="5"/>
      <c r="X21" s="5"/>
      <c r="Y21" s="5"/>
      <c r="Z21" s="5"/>
    </row>
    <row r="22" spans="1:26" ht="28.5" customHeight="1" x14ac:dyDescent="0.25">
      <c r="A22" s="68"/>
      <c r="B22" s="65"/>
      <c r="C22" s="4"/>
      <c r="D22" s="4"/>
      <c r="E22" s="4"/>
      <c r="F22" s="4"/>
      <c r="G22" s="4"/>
      <c r="H22" s="4"/>
      <c r="I22" s="5"/>
      <c r="J22" s="5"/>
      <c r="K22" s="5"/>
      <c r="L22" s="5"/>
      <c r="M22" s="5"/>
      <c r="N22" s="5"/>
      <c r="O22" s="4"/>
      <c r="P22" s="4"/>
      <c r="Q22" s="4"/>
      <c r="R22" s="4"/>
      <c r="S22" s="4"/>
      <c r="T22" s="4"/>
      <c r="U22" s="5"/>
      <c r="V22" s="5"/>
      <c r="W22" s="5"/>
      <c r="X22" s="5"/>
      <c r="Y22" s="5"/>
      <c r="Z22" s="5"/>
    </row>
    <row r="23" spans="1:26" ht="28.5" customHeight="1" x14ac:dyDescent="0.25">
      <c r="A23" s="68"/>
      <c r="B23" s="65"/>
      <c r="C23" s="4"/>
      <c r="D23" s="4"/>
      <c r="E23" s="4"/>
      <c r="F23" s="4"/>
      <c r="G23" s="4"/>
      <c r="H23" s="4"/>
      <c r="I23" s="5"/>
      <c r="J23" s="5"/>
      <c r="K23" s="5"/>
      <c r="L23" s="5"/>
      <c r="M23" s="5"/>
      <c r="N23" s="5"/>
      <c r="O23" s="4"/>
      <c r="P23" s="4"/>
      <c r="Q23" s="4"/>
      <c r="R23" s="4"/>
      <c r="S23" s="4"/>
      <c r="T23" s="4"/>
      <c r="U23" s="5"/>
      <c r="V23" s="5"/>
      <c r="W23" s="5"/>
      <c r="X23" s="5"/>
      <c r="Y23" s="5"/>
      <c r="Z23" s="5"/>
    </row>
  </sheetData>
  <mergeCells count="4">
    <mergeCell ref="O2:T2"/>
    <mergeCell ref="U2:Z2"/>
    <mergeCell ref="C2:H2"/>
    <mergeCell ref="I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39997558519241921"/>
  </sheetPr>
  <dimension ref="A2:Z23"/>
  <sheetViews>
    <sheetView zoomScale="70" zoomScaleNormal="70" workbookViewId="0">
      <selection activeCell="A4" sqref="A4:B23"/>
    </sheetView>
  </sheetViews>
  <sheetFormatPr baseColWidth="10" defaultRowHeight="15" x14ac:dyDescent="0.25"/>
  <cols>
    <col min="2" max="2" width="13.5703125" bestFit="1" customWidth="1"/>
  </cols>
  <sheetData>
    <row r="2" spans="1:26" s="15" customFormat="1" ht="39" customHeight="1" x14ac:dyDescent="0.25">
      <c r="C2" s="177" t="s">
        <v>39</v>
      </c>
      <c r="D2" s="177"/>
      <c r="E2" s="177"/>
      <c r="F2" s="177"/>
      <c r="G2" s="177"/>
      <c r="H2" s="177"/>
      <c r="I2" s="176" t="s">
        <v>40</v>
      </c>
      <c r="J2" s="176"/>
      <c r="K2" s="176"/>
      <c r="L2" s="176"/>
      <c r="M2" s="176"/>
      <c r="N2" s="176"/>
      <c r="O2" s="177" t="s">
        <v>41</v>
      </c>
      <c r="P2" s="177"/>
      <c r="Q2" s="177"/>
      <c r="R2" s="177"/>
      <c r="S2" s="177"/>
      <c r="T2" s="177"/>
      <c r="U2" s="176" t="s">
        <v>42</v>
      </c>
      <c r="V2" s="176"/>
      <c r="W2" s="176"/>
      <c r="X2" s="176"/>
      <c r="Y2" s="176"/>
      <c r="Z2" s="176"/>
    </row>
    <row r="3" spans="1:26" s="14" customFormat="1" ht="27.75" customHeight="1" x14ac:dyDescent="0.25">
      <c r="A3" s="8" t="s">
        <v>0</v>
      </c>
      <c r="B3" s="9" t="s">
        <v>1</v>
      </c>
      <c r="C3" s="10" t="s">
        <v>7</v>
      </c>
      <c r="D3" s="10" t="s">
        <v>11</v>
      </c>
      <c r="E3" s="10" t="s">
        <v>34</v>
      </c>
      <c r="F3" s="10" t="s">
        <v>7</v>
      </c>
      <c r="G3" s="10" t="s">
        <v>6</v>
      </c>
      <c r="H3" s="11" t="s">
        <v>32</v>
      </c>
      <c r="I3" s="12" t="s">
        <v>7</v>
      </c>
      <c r="J3" s="12" t="s">
        <v>11</v>
      </c>
      <c r="K3" s="12" t="s">
        <v>34</v>
      </c>
      <c r="L3" s="12" t="s">
        <v>7</v>
      </c>
      <c r="M3" s="12" t="s">
        <v>6</v>
      </c>
      <c r="N3" s="13" t="s">
        <v>32</v>
      </c>
      <c r="O3" s="10" t="s">
        <v>7</v>
      </c>
      <c r="P3" s="10" t="s">
        <v>11</v>
      </c>
      <c r="Q3" s="10" t="s">
        <v>34</v>
      </c>
      <c r="R3" s="10" t="s">
        <v>7</v>
      </c>
      <c r="S3" s="10" t="s">
        <v>6</v>
      </c>
      <c r="T3" s="11" t="s">
        <v>32</v>
      </c>
      <c r="U3" s="12" t="s">
        <v>7</v>
      </c>
      <c r="V3" s="12" t="s">
        <v>11</v>
      </c>
      <c r="W3" s="12" t="s">
        <v>34</v>
      </c>
      <c r="X3" s="12" t="s">
        <v>7</v>
      </c>
      <c r="Y3" s="12" t="s">
        <v>6</v>
      </c>
      <c r="Z3" s="13" t="s">
        <v>32</v>
      </c>
    </row>
    <row r="4" spans="1:26" ht="27.75" customHeight="1" x14ac:dyDescent="0.25">
      <c r="A4" s="68"/>
      <c r="B4" s="65"/>
      <c r="C4" s="91"/>
      <c r="D4" s="1"/>
      <c r="E4" s="1"/>
      <c r="F4" s="91"/>
      <c r="G4" s="1"/>
      <c r="H4" s="1"/>
      <c r="I4" s="5"/>
      <c r="J4" s="5"/>
      <c r="K4" s="5"/>
      <c r="L4" s="5"/>
      <c r="M4" s="5"/>
      <c r="N4" s="5"/>
      <c r="O4" s="1"/>
      <c r="P4" s="1"/>
      <c r="Q4" s="1"/>
      <c r="R4" s="1"/>
      <c r="S4" s="1"/>
      <c r="T4" s="1"/>
      <c r="U4" s="5"/>
      <c r="V4" s="5"/>
      <c r="W4" s="5"/>
      <c r="X4" s="5"/>
      <c r="Y4" s="5"/>
      <c r="Z4" s="5"/>
    </row>
    <row r="5" spans="1:26" ht="27.75" customHeight="1" x14ac:dyDescent="0.25">
      <c r="A5" s="68"/>
      <c r="B5" s="65"/>
      <c r="C5" s="1"/>
      <c r="D5" s="1"/>
      <c r="E5" s="1"/>
      <c r="F5" s="1"/>
      <c r="G5" s="1"/>
      <c r="H5" s="1"/>
      <c r="I5" s="92"/>
      <c r="J5" s="5"/>
      <c r="K5" s="5"/>
      <c r="L5" s="5"/>
      <c r="M5" s="5"/>
      <c r="N5" s="5"/>
      <c r="O5" s="1"/>
      <c r="P5" s="1"/>
      <c r="Q5" s="1"/>
      <c r="R5" s="1"/>
      <c r="S5" s="1"/>
      <c r="T5" s="1"/>
      <c r="U5" s="5"/>
      <c r="V5" s="5"/>
      <c r="W5" s="5"/>
      <c r="X5" s="5"/>
      <c r="Y5" s="5"/>
      <c r="Z5" s="5"/>
    </row>
    <row r="6" spans="1:26" ht="27.75" customHeight="1" x14ac:dyDescent="0.25">
      <c r="A6" s="68"/>
      <c r="B6" s="65"/>
      <c r="C6" s="1"/>
      <c r="D6" s="1"/>
      <c r="E6" s="1"/>
      <c r="F6" s="1"/>
      <c r="G6" s="1"/>
      <c r="H6" s="1"/>
      <c r="I6" s="5"/>
      <c r="J6" s="5"/>
      <c r="K6" s="5"/>
      <c r="L6" s="5"/>
      <c r="M6" s="5"/>
      <c r="N6" s="5"/>
      <c r="O6" s="1"/>
      <c r="P6" s="1"/>
      <c r="Q6" s="1"/>
      <c r="R6" s="1"/>
      <c r="S6" s="1"/>
      <c r="T6" s="1"/>
      <c r="U6" s="5"/>
      <c r="V6" s="5"/>
      <c r="W6" s="5"/>
      <c r="X6" s="5"/>
      <c r="Y6" s="5"/>
      <c r="Z6" s="5"/>
    </row>
    <row r="7" spans="1:26" ht="27.75" customHeight="1" x14ac:dyDescent="0.25">
      <c r="A7" s="68"/>
      <c r="B7" s="65"/>
      <c r="C7" s="1"/>
      <c r="D7" s="1"/>
      <c r="E7" s="1"/>
      <c r="F7" s="1"/>
      <c r="G7" s="1"/>
      <c r="H7" s="1"/>
      <c r="I7" s="5"/>
      <c r="J7" s="5"/>
      <c r="K7" s="5"/>
      <c r="L7" s="5"/>
      <c r="M7" s="5"/>
      <c r="N7" s="5"/>
      <c r="O7" s="1"/>
      <c r="P7" s="1"/>
      <c r="Q7" s="1"/>
      <c r="R7" s="1"/>
      <c r="S7" s="1"/>
      <c r="T7" s="1"/>
      <c r="U7" s="5"/>
      <c r="V7" s="5"/>
      <c r="W7" s="5"/>
      <c r="X7" s="5"/>
      <c r="Y7" s="5"/>
      <c r="Z7" s="5"/>
    </row>
    <row r="8" spans="1:26" ht="27.75" customHeight="1" x14ac:dyDescent="0.25">
      <c r="A8" s="68"/>
      <c r="B8" s="65"/>
      <c r="C8" s="1"/>
      <c r="D8" s="1"/>
      <c r="E8" s="1"/>
      <c r="F8" s="1"/>
      <c r="G8" s="1"/>
      <c r="H8" s="1"/>
      <c r="I8" s="5"/>
      <c r="J8" s="5"/>
      <c r="K8" s="5"/>
      <c r="L8" s="5"/>
      <c r="M8" s="5"/>
      <c r="N8" s="5"/>
      <c r="O8" s="1"/>
      <c r="P8" s="1"/>
      <c r="Q8" s="1"/>
      <c r="R8" s="1"/>
      <c r="S8" s="1"/>
      <c r="T8" s="1"/>
      <c r="U8" s="5"/>
      <c r="V8" s="5"/>
      <c r="W8" s="5"/>
      <c r="X8" s="5"/>
      <c r="Y8" s="5"/>
      <c r="Z8" s="5"/>
    </row>
    <row r="9" spans="1:26" ht="27.75" customHeight="1" x14ac:dyDescent="0.25">
      <c r="A9" s="68"/>
      <c r="B9" s="65"/>
      <c r="C9" s="1"/>
      <c r="D9" s="1"/>
      <c r="E9" s="1"/>
      <c r="F9" s="1"/>
      <c r="G9" s="1"/>
      <c r="H9" s="1"/>
      <c r="I9" s="5"/>
      <c r="J9" s="5"/>
      <c r="K9" s="5"/>
      <c r="L9" s="5"/>
      <c r="M9" s="5"/>
      <c r="N9" s="5"/>
      <c r="O9" s="1"/>
      <c r="P9" s="1"/>
      <c r="Q9" s="1"/>
      <c r="R9" s="1"/>
      <c r="S9" s="1"/>
      <c r="T9" s="1"/>
      <c r="U9" s="5"/>
      <c r="V9" s="5"/>
      <c r="W9" s="5"/>
      <c r="X9" s="5"/>
      <c r="Y9" s="5"/>
      <c r="Z9" s="5"/>
    </row>
    <row r="10" spans="1:26" ht="27.75" customHeight="1" x14ac:dyDescent="0.25">
      <c r="A10" s="68"/>
      <c r="B10" s="65"/>
      <c r="C10" s="1"/>
      <c r="D10" s="1"/>
      <c r="E10" s="1"/>
      <c r="F10" s="1"/>
      <c r="G10" s="1"/>
      <c r="H10" s="1"/>
      <c r="I10" s="5"/>
      <c r="J10" s="5"/>
      <c r="K10" s="5"/>
      <c r="L10" s="5"/>
      <c r="M10" s="5"/>
      <c r="N10" s="5"/>
      <c r="O10" s="1"/>
      <c r="P10" s="1"/>
      <c r="Q10" s="1"/>
      <c r="R10" s="1"/>
      <c r="S10" s="1"/>
      <c r="T10" s="1"/>
      <c r="U10" s="5"/>
      <c r="V10" s="5"/>
      <c r="W10" s="5"/>
      <c r="X10" s="5"/>
      <c r="Y10" s="5"/>
      <c r="Z10" s="5"/>
    </row>
    <row r="11" spans="1:26" ht="27.75" customHeight="1" x14ac:dyDescent="0.25">
      <c r="A11" s="76"/>
      <c r="B11" s="65"/>
      <c r="C11" s="1"/>
      <c r="D11" s="1"/>
      <c r="E11" s="1"/>
      <c r="F11" s="1"/>
      <c r="G11" s="1"/>
      <c r="H11" s="1"/>
      <c r="I11" s="5"/>
      <c r="J11" s="5"/>
      <c r="K11" s="5"/>
      <c r="L11" s="5"/>
      <c r="M11" s="5"/>
      <c r="N11" s="5"/>
      <c r="O11" s="1"/>
      <c r="P11" s="1"/>
      <c r="Q11" s="1"/>
      <c r="R11" s="1"/>
      <c r="S11" s="1"/>
      <c r="T11" s="1"/>
      <c r="U11" s="5"/>
      <c r="V11" s="5"/>
      <c r="W11" s="5"/>
      <c r="X11" s="5"/>
      <c r="Y11" s="5"/>
      <c r="Z11" s="5"/>
    </row>
    <row r="12" spans="1:26" ht="27.75" customHeight="1" x14ac:dyDescent="0.25">
      <c r="A12" s="76"/>
      <c r="B12" s="77"/>
      <c r="C12" s="1"/>
      <c r="D12" s="1"/>
      <c r="E12" s="1"/>
      <c r="F12" s="1"/>
      <c r="G12" s="1"/>
      <c r="H12" s="1"/>
      <c r="I12" s="5"/>
      <c r="J12" s="5"/>
      <c r="K12" s="5"/>
      <c r="L12" s="5"/>
      <c r="M12" s="5"/>
      <c r="N12" s="5"/>
      <c r="O12" s="1"/>
      <c r="P12" s="1"/>
      <c r="Q12" s="1"/>
      <c r="R12" s="1"/>
      <c r="S12" s="1"/>
      <c r="T12" s="1"/>
      <c r="U12" s="5"/>
      <c r="V12" s="5"/>
      <c r="W12" s="5"/>
      <c r="X12" s="5"/>
      <c r="Y12" s="5"/>
      <c r="Z12" s="5"/>
    </row>
    <row r="13" spans="1:26" ht="27.75" customHeight="1" x14ac:dyDescent="0.25">
      <c r="A13" s="64"/>
      <c r="B13" s="77"/>
      <c r="C13" s="1"/>
      <c r="D13" s="1"/>
      <c r="E13" s="1"/>
      <c r="F13" s="1"/>
      <c r="G13" s="1"/>
      <c r="H13" s="1"/>
      <c r="I13" s="5"/>
      <c r="J13" s="5"/>
      <c r="K13" s="5"/>
      <c r="L13" s="5"/>
      <c r="M13" s="5"/>
      <c r="N13" s="5"/>
      <c r="O13" s="1"/>
      <c r="P13" s="1"/>
      <c r="Q13" s="1"/>
      <c r="R13" s="1"/>
      <c r="S13" s="1"/>
      <c r="T13" s="1"/>
      <c r="U13" s="5"/>
      <c r="V13" s="5"/>
      <c r="W13" s="5"/>
      <c r="X13" s="5"/>
      <c r="Y13" s="5"/>
      <c r="Z13" s="5"/>
    </row>
    <row r="14" spans="1:26" ht="27.75" customHeight="1" x14ac:dyDescent="0.25">
      <c r="A14" s="64"/>
      <c r="B14" s="65"/>
      <c r="C14" s="1"/>
      <c r="D14" s="1"/>
      <c r="E14" s="1"/>
      <c r="F14" s="1"/>
      <c r="G14" s="1"/>
      <c r="H14" s="1"/>
      <c r="I14" s="5"/>
      <c r="J14" s="5"/>
      <c r="K14" s="5"/>
      <c r="L14" s="5"/>
      <c r="M14" s="5"/>
      <c r="N14" s="5"/>
      <c r="O14" s="1"/>
      <c r="P14" s="1"/>
      <c r="Q14" s="1"/>
      <c r="R14" s="1"/>
      <c r="S14" s="1"/>
      <c r="T14" s="1"/>
      <c r="U14" s="5"/>
      <c r="V14" s="5"/>
      <c r="W14" s="5"/>
      <c r="X14" s="5"/>
      <c r="Y14" s="5"/>
      <c r="Z14" s="5"/>
    </row>
    <row r="15" spans="1:26" ht="27.75" customHeight="1" x14ac:dyDescent="0.25">
      <c r="A15" s="68"/>
      <c r="B15" s="65"/>
      <c r="C15" s="1"/>
      <c r="D15" s="1"/>
      <c r="E15" s="1"/>
      <c r="F15" s="1"/>
      <c r="G15" s="1"/>
      <c r="H15" s="1"/>
      <c r="I15" s="5"/>
      <c r="J15" s="5"/>
      <c r="K15" s="5"/>
      <c r="L15" s="5"/>
      <c r="M15" s="5"/>
      <c r="N15" s="5"/>
      <c r="O15" s="1"/>
      <c r="P15" s="1"/>
      <c r="Q15" s="1"/>
      <c r="R15" s="1"/>
      <c r="S15" s="1"/>
      <c r="T15" s="1"/>
      <c r="U15" s="5"/>
      <c r="V15" s="5"/>
      <c r="W15" s="5"/>
      <c r="X15" s="5"/>
      <c r="Y15" s="5"/>
      <c r="Z15" s="5"/>
    </row>
    <row r="16" spans="1:26" ht="27.75" customHeight="1" x14ac:dyDescent="0.25">
      <c r="A16" s="68"/>
      <c r="B16" s="65"/>
      <c r="C16" s="1"/>
      <c r="D16" s="1"/>
      <c r="E16" s="1"/>
      <c r="F16" s="1"/>
      <c r="G16" s="1"/>
      <c r="H16" s="1"/>
      <c r="I16" s="5"/>
      <c r="J16" s="5"/>
      <c r="K16" s="5"/>
      <c r="L16" s="5"/>
      <c r="M16" s="5"/>
      <c r="N16" s="5"/>
      <c r="O16" s="1"/>
      <c r="P16" s="1"/>
      <c r="Q16" s="1"/>
      <c r="R16" s="1"/>
      <c r="S16" s="1"/>
      <c r="T16" s="1"/>
      <c r="U16" s="5"/>
      <c r="V16" s="5"/>
      <c r="W16" s="5"/>
      <c r="X16" s="5"/>
      <c r="Y16" s="5"/>
      <c r="Z16" s="5"/>
    </row>
    <row r="17" spans="1:26" ht="27.75" customHeight="1" x14ac:dyDescent="0.25">
      <c r="A17" s="68"/>
      <c r="B17" s="65"/>
      <c r="C17" s="1"/>
      <c r="D17" s="1"/>
      <c r="E17" s="1"/>
      <c r="F17" s="1"/>
      <c r="G17" s="1"/>
      <c r="H17" s="1"/>
      <c r="I17" s="5"/>
      <c r="J17" s="5"/>
      <c r="K17" s="5"/>
      <c r="L17" s="5"/>
      <c r="M17" s="5"/>
      <c r="N17" s="5"/>
      <c r="O17" s="1"/>
      <c r="P17" s="1"/>
      <c r="Q17" s="1"/>
      <c r="R17" s="1"/>
      <c r="S17" s="1"/>
      <c r="T17" s="1"/>
      <c r="U17" s="5"/>
      <c r="V17" s="5"/>
      <c r="W17" s="5"/>
      <c r="X17" s="5"/>
      <c r="Y17" s="5"/>
      <c r="Z17" s="5"/>
    </row>
    <row r="18" spans="1:26" ht="27.75" customHeight="1" x14ac:dyDescent="0.25">
      <c r="A18" s="68"/>
      <c r="B18" s="65"/>
      <c r="C18" s="1"/>
      <c r="D18" s="1"/>
      <c r="E18" s="1"/>
      <c r="F18" s="1"/>
      <c r="G18" s="1"/>
      <c r="H18" s="1"/>
      <c r="I18" s="5"/>
      <c r="J18" s="5"/>
      <c r="K18" s="5"/>
      <c r="L18" s="5"/>
      <c r="M18" s="5"/>
      <c r="N18" s="5"/>
      <c r="O18" s="1"/>
      <c r="P18" s="1"/>
      <c r="Q18" s="1"/>
      <c r="R18" s="1"/>
      <c r="S18" s="1"/>
      <c r="T18" s="1"/>
      <c r="U18" s="5"/>
      <c r="V18" s="5"/>
      <c r="W18" s="5"/>
      <c r="X18" s="5"/>
      <c r="Y18" s="5"/>
      <c r="Z18" s="5"/>
    </row>
    <row r="19" spans="1:26" ht="27.75" customHeight="1" x14ac:dyDescent="0.25">
      <c r="A19" s="68"/>
      <c r="B19" s="65"/>
      <c r="C19" s="1"/>
      <c r="D19" s="1"/>
      <c r="E19" s="1"/>
      <c r="F19" s="1"/>
      <c r="G19" s="1"/>
      <c r="H19" s="1"/>
      <c r="I19" s="5"/>
      <c r="J19" s="5"/>
      <c r="K19" s="5"/>
      <c r="L19" s="5"/>
      <c r="M19" s="5"/>
      <c r="N19" s="5"/>
      <c r="O19" s="1"/>
      <c r="P19" s="1"/>
      <c r="Q19" s="1"/>
      <c r="R19" s="1"/>
      <c r="S19" s="1"/>
      <c r="T19" s="1"/>
      <c r="U19" s="5"/>
      <c r="V19" s="5"/>
      <c r="W19" s="5"/>
      <c r="X19" s="5"/>
      <c r="Y19" s="5"/>
      <c r="Z19" s="5"/>
    </row>
    <row r="20" spans="1:26" ht="27.75" customHeight="1" x14ac:dyDescent="0.25">
      <c r="A20" s="68"/>
      <c r="B20" s="65"/>
      <c r="C20" s="1"/>
      <c r="D20" s="1"/>
      <c r="E20" s="1"/>
      <c r="F20" s="1"/>
      <c r="G20" s="1"/>
      <c r="H20" s="1"/>
      <c r="I20" s="5"/>
      <c r="J20" s="5"/>
      <c r="K20" s="5"/>
      <c r="L20" s="5"/>
      <c r="M20" s="5"/>
      <c r="N20" s="5"/>
      <c r="O20" s="1"/>
      <c r="P20" s="1"/>
      <c r="Q20" s="1"/>
      <c r="R20" s="1"/>
      <c r="S20" s="1"/>
      <c r="T20" s="1"/>
      <c r="U20" s="5"/>
      <c r="V20" s="5"/>
      <c r="W20" s="5"/>
      <c r="X20" s="5"/>
      <c r="Y20" s="5"/>
      <c r="Z20" s="5"/>
    </row>
    <row r="21" spans="1:26" ht="27.75" customHeight="1" x14ac:dyDescent="0.25">
      <c r="A21" s="68"/>
      <c r="B21" s="65"/>
      <c r="C21" s="1"/>
      <c r="D21" s="1"/>
      <c r="E21" s="1"/>
      <c r="F21" s="1"/>
      <c r="G21" s="1"/>
      <c r="H21" s="1"/>
      <c r="I21" s="5"/>
      <c r="J21" s="5"/>
      <c r="K21" s="5"/>
      <c r="L21" s="5"/>
      <c r="M21" s="5"/>
      <c r="N21" s="5"/>
      <c r="O21" s="1"/>
      <c r="P21" s="1"/>
      <c r="Q21" s="1"/>
      <c r="R21" s="1"/>
      <c r="S21" s="1"/>
      <c r="T21" s="1"/>
      <c r="U21" s="5"/>
      <c r="V21" s="5"/>
      <c r="W21" s="5"/>
      <c r="X21" s="5"/>
      <c r="Y21" s="5"/>
      <c r="Z21" s="5"/>
    </row>
    <row r="22" spans="1:26" ht="27.75" customHeight="1" x14ac:dyDescent="0.25">
      <c r="A22" s="68"/>
      <c r="B22" s="65"/>
      <c r="C22" s="1"/>
      <c r="D22" s="1"/>
      <c r="E22" s="1"/>
      <c r="F22" s="1"/>
      <c r="G22" s="1"/>
      <c r="H22" s="1"/>
      <c r="I22" s="5"/>
      <c r="J22" s="5"/>
      <c r="K22" s="5"/>
      <c r="L22" s="5"/>
      <c r="M22" s="5"/>
      <c r="N22" s="5"/>
      <c r="O22" s="1"/>
      <c r="P22" s="1"/>
      <c r="Q22" s="1"/>
      <c r="R22" s="1"/>
      <c r="S22" s="1"/>
      <c r="T22" s="1"/>
      <c r="U22" s="5"/>
      <c r="V22" s="5"/>
      <c r="W22" s="5"/>
      <c r="X22" s="5"/>
      <c r="Y22" s="5"/>
      <c r="Z22" s="5"/>
    </row>
    <row r="23" spans="1:26" ht="27.75" customHeight="1" x14ac:dyDescent="0.25">
      <c r="A23" s="68"/>
      <c r="B23" s="65"/>
      <c r="C23" s="1"/>
      <c r="D23" s="1"/>
      <c r="E23" s="1"/>
      <c r="F23" s="1"/>
      <c r="G23" s="1"/>
      <c r="H23" s="1"/>
      <c r="I23" s="5"/>
      <c r="J23" s="5"/>
      <c r="K23" s="5"/>
      <c r="L23" s="5"/>
      <c r="M23" s="5"/>
      <c r="N23" s="5"/>
      <c r="O23" s="1"/>
      <c r="P23" s="1"/>
      <c r="Q23" s="1"/>
      <c r="R23" s="1"/>
      <c r="S23" s="1"/>
      <c r="T23" s="1"/>
      <c r="U23" s="5"/>
      <c r="V23" s="5"/>
      <c r="W23" s="5"/>
      <c r="X23" s="5"/>
      <c r="Y23" s="5"/>
      <c r="Z23" s="5"/>
    </row>
  </sheetData>
  <mergeCells count="4">
    <mergeCell ref="U2:Z2"/>
    <mergeCell ref="C2:H2"/>
    <mergeCell ref="I2:N2"/>
    <mergeCell ref="O2:T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2"/>
  <sheetViews>
    <sheetView zoomScale="70" zoomScaleNormal="70" workbookViewId="0">
      <selection activeCell="A3" sqref="A3:B22"/>
    </sheetView>
  </sheetViews>
  <sheetFormatPr baseColWidth="10" defaultRowHeight="15" x14ac:dyDescent="0.25"/>
  <cols>
    <col min="2" max="2" width="13.28515625" customWidth="1"/>
    <col min="5" max="5" width="14.28515625" bestFit="1" customWidth="1"/>
    <col min="7" max="7" width="21.28515625" bestFit="1" customWidth="1"/>
    <col min="10" max="10" width="17.5703125" customWidth="1"/>
  </cols>
  <sheetData>
    <row r="1" spans="1:13" ht="15.75" x14ac:dyDescent="0.25">
      <c r="A1" s="178" t="s">
        <v>66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13" s="6" customFormat="1" x14ac:dyDescent="0.25">
      <c r="A2" s="30" t="s">
        <v>0</v>
      </c>
      <c r="B2" s="31" t="s">
        <v>1</v>
      </c>
      <c r="C2" s="17" t="s">
        <v>55</v>
      </c>
      <c r="D2" s="17" t="s">
        <v>56</v>
      </c>
      <c r="E2" s="17" t="s">
        <v>57</v>
      </c>
      <c r="F2" s="17" t="s">
        <v>58</v>
      </c>
      <c r="G2" s="17" t="s">
        <v>59</v>
      </c>
      <c r="H2" s="17" t="s">
        <v>61</v>
      </c>
      <c r="I2" s="17" t="s">
        <v>62</v>
      </c>
      <c r="J2" s="17" t="s">
        <v>63</v>
      </c>
      <c r="K2" s="17" t="s">
        <v>64</v>
      </c>
      <c r="L2" s="17" t="s">
        <v>65</v>
      </c>
      <c r="M2" s="17" t="s">
        <v>67</v>
      </c>
    </row>
    <row r="3" spans="1:13" ht="32.25" customHeight="1" x14ac:dyDescent="0.25">
      <c r="A3" s="68"/>
      <c r="B3" s="65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32.25" customHeight="1" x14ac:dyDescent="0.25">
      <c r="A4" s="68"/>
      <c r="B4" s="65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32.25" customHeight="1" x14ac:dyDescent="0.25">
      <c r="A5" s="68"/>
      <c r="B5" s="65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32.25" customHeight="1" x14ac:dyDescent="0.25">
      <c r="A6" s="68"/>
      <c r="B6" s="65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32.25" customHeight="1" x14ac:dyDescent="0.25">
      <c r="A7" s="68"/>
      <c r="B7" s="65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32.25" customHeight="1" x14ac:dyDescent="0.25">
      <c r="A8" s="68"/>
      <c r="B8" s="65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2.25" customHeight="1" x14ac:dyDescent="0.25">
      <c r="A9" s="68"/>
      <c r="B9" s="65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32.25" customHeight="1" x14ac:dyDescent="0.25">
      <c r="A10" s="76"/>
      <c r="B10" s="6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32.25" customHeight="1" x14ac:dyDescent="0.25">
      <c r="A11" s="76"/>
      <c r="B11" s="77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32.25" customHeight="1" x14ac:dyDescent="0.25">
      <c r="A12" s="64"/>
      <c r="B12" s="77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32.25" customHeight="1" x14ac:dyDescent="0.25">
      <c r="A13" s="64"/>
      <c r="B13" s="6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32.25" customHeight="1" x14ac:dyDescent="0.25">
      <c r="A14" s="68"/>
      <c r="B14" s="6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32.25" customHeight="1" x14ac:dyDescent="0.25">
      <c r="A15" s="68"/>
      <c r="B15" s="6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32.25" customHeight="1" x14ac:dyDescent="0.25">
      <c r="A16" s="68"/>
      <c r="B16" s="6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32.25" customHeight="1" x14ac:dyDescent="0.25">
      <c r="A17" s="68"/>
      <c r="B17" s="6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32.25" customHeight="1" x14ac:dyDescent="0.25">
      <c r="A18" s="68"/>
      <c r="B18" s="6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32.25" customHeight="1" x14ac:dyDescent="0.25">
      <c r="A19" s="68"/>
      <c r="B19" s="6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32.25" customHeight="1" x14ac:dyDescent="0.25">
      <c r="A20" s="68"/>
      <c r="B20" s="6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32.25" customHeight="1" x14ac:dyDescent="0.25">
      <c r="A21" s="68"/>
      <c r="B21" s="6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32.25" customHeight="1" x14ac:dyDescent="0.25">
      <c r="A22" s="68"/>
      <c r="B22" s="6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 tint="4.9989318521683403E-2"/>
  </sheetPr>
  <dimension ref="A1:F22"/>
  <sheetViews>
    <sheetView workbookViewId="0">
      <selection activeCell="A2" sqref="A2:E22"/>
    </sheetView>
  </sheetViews>
  <sheetFormatPr baseColWidth="10" defaultRowHeight="15" x14ac:dyDescent="0.25"/>
  <cols>
    <col min="1" max="1" width="12.5703125" bestFit="1" customWidth="1"/>
    <col min="2" max="2" width="14.7109375" bestFit="1" customWidth="1"/>
    <col min="3" max="3" width="18" customWidth="1"/>
    <col min="4" max="4" width="15.5703125" bestFit="1" customWidth="1"/>
    <col min="5" max="5" width="11.42578125" style="2"/>
  </cols>
  <sheetData>
    <row r="1" spans="1:6" s="18" customFormat="1" ht="24" customHeight="1" x14ac:dyDescent="0.25">
      <c r="A1" s="17" t="s">
        <v>43</v>
      </c>
      <c r="B1" s="17" t="s">
        <v>44</v>
      </c>
      <c r="C1" s="17" t="s">
        <v>45</v>
      </c>
      <c r="D1" s="17" t="s">
        <v>32</v>
      </c>
      <c r="E1" s="17" t="s">
        <v>46</v>
      </c>
      <c r="F1" s="17" t="s">
        <v>47</v>
      </c>
    </row>
    <row r="2" spans="1:6" ht="24" customHeight="1" x14ac:dyDescent="0.25">
      <c r="A2" s="3"/>
      <c r="B2" s="3"/>
      <c r="C2" s="3"/>
      <c r="D2" s="3"/>
      <c r="E2" s="3"/>
      <c r="F2" s="3"/>
    </row>
    <row r="3" spans="1:6" ht="24" customHeight="1" x14ac:dyDescent="0.25">
      <c r="A3" s="3"/>
      <c r="B3" s="3"/>
      <c r="C3" s="3"/>
      <c r="D3" s="3"/>
      <c r="E3" s="3"/>
      <c r="F3" s="3"/>
    </row>
    <row r="4" spans="1:6" ht="24" customHeight="1" x14ac:dyDescent="0.25">
      <c r="A4" s="3"/>
      <c r="B4" s="3"/>
      <c r="C4" s="3"/>
      <c r="D4" s="3"/>
      <c r="E4" s="3"/>
      <c r="F4" s="3"/>
    </row>
    <row r="5" spans="1:6" ht="24" customHeight="1" x14ac:dyDescent="0.25">
      <c r="A5" s="3"/>
      <c r="B5" s="3"/>
      <c r="C5" s="3"/>
      <c r="D5" s="3"/>
      <c r="E5" s="3"/>
      <c r="F5" s="3"/>
    </row>
    <row r="6" spans="1:6" ht="24" customHeight="1" x14ac:dyDescent="0.25">
      <c r="A6" s="3"/>
      <c r="B6" s="3"/>
      <c r="C6" s="3"/>
      <c r="D6" s="3"/>
      <c r="E6" s="3"/>
      <c r="F6" s="3"/>
    </row>
    <row r="7" spans="1:6" ht="24" customHeight="1" x14ac:dyDescent="0.25">
      <c r="A7" s="3"/>
      <c r="B7" s="3"/>
      <c r="C7" s="3"/>
      <c r="D7" s="3"/>
      <c r="E7" s="3"/>
      <c r="F7" s="3"/>
    </row>
    <row r="8" spans="1:6" ht="24" customHeight="1" x14ac:dyDescent="0.25">
      <c r="A8" s="3"/>
      <c r="B8" s="3"/>
      <c r="C8" s="3"/>
      <c r="D8" s="3"/>
      <c r="E8" s="3"/>
      <c r="F8" s="3"/>
    </row>
    <row r="9" spans="1:6" ht="24" customHeight="1" x14ac:dyDescent="0.25">
      <c r="A9" s="3"/>
      <c r="B9" s="3"/>
      <c r="C9" s="3"/>
      <c r="D9" s="3"/>
      <c r="E9" s="3"/>
      <c r="F9" s="3"/>
    </row>
    <row r="10" spans="1:6" ht="24" customHeight="1" x14ac:dyDescent="0.25">
      <c r="A10" s="3"/>
      <c r="B10" s="3"/>
      <c r="C10" s="3"/>
      <c r="D10" s="3"/>
      <c r="E10" s="3"/>
      <c r="F10" s="3"/>
    </row>
    <row r="11" spans="1:6" ht="24" customHeight="1" x14ac:dyDescent="0.25">
      <c r="A11" s="3"/>
      <c r="B11" s="3"/>
      <c r="C11" s="3"/>
      <c r="D11" s="3"/>
      <c r="E11" s="3"/>
      <c r="F11" s="3"/>
    </row>
    <row r="12" spans="1:6" ht="24" customHeight="1" x14ac:dyDescent="0.25">
      <c r="A12" s="3"/>
      <c r="B12" s="3"/>
      <c r="C12" s="3"/>
      <c r="D12" s="3"/>
      <c r="E12" s="3"/>
      <c r="F12" s="3"/>
    </row>
    <row r="13" spans="1:6" ht="24" customHeight="1" x14ac:dyDescent="0.25">
      <c r="A13" s="3"/>
      <c r="B13" s="3"/>
      <c r="C13" s="3"/>
      <c r="D13" s="3"/>
      <c r="E13" s="3"/>
      <c r="F13" s="3"/>
    </row>
    <row r="14" spans="1:6" ht="24" customHeight="1" x14ac:dyDescent="0.25">
      <c r="A14" s="3"/>
      <c r="B14" s="3"/>
      <c r="C14" s="3"/>
      <c r="D14" s="3"/>
      <c r="E14" s="3"/>
      <c r="F14" s="3"/>
    </row>
    <row r="15" spans="1:6" ht="24" customHeight="1" x14ac:dyDescent="0.25">
      <c r="A15" s="3"/>
      <c r="B15" s="3"/>
      <c r="C15" s="3"/>
      <c r="D15" s="3"/>
      <c r="E15" s="3"/>
      <c r="F15" s="3"/>
    </row>
    <row r="16" spans="1:6" ht="24" customHeight="1" x14ac:dyDescent="0.25">
      <c r="A16" s="3"/>
      <c r="B16" s="3"/>
      <c r="C16" s="3"/>
      <c r="D16" s="3"/>
      <c r="E16" s="3"/>
      <c r="F16" s="3"/>
    </row>
    <row r="17" spans="1:6" ht="24" customHeight="1" x14ac:dyDescent="0.25">
      <c r="A17" s="3"/>
      <c r="B17" s="3"/>
      <c r="C17" s="3"/>
      <c r="D17" s="3"/>
      <c r="E17" s="3"/>
      <c r="F17" s="3"/>
    </row>
    <row r="18" spans="1:6" ht="24" customHeight="1" x14ac:dyDescent="0.25">
      <c r="A18" s="3"/>
      <c r="B18" s="3"/>
      <c r="C18" s="3"/>
      <c r="D18" s="3"/>
      <c r="E18" s="3"/>
      <c r="F18" s="3"/>
    </row>
    <row r="19" spans="1:6" ht="24" customHeight="1" x14ac:dyDescent="0.25">
      <c r="A19" s="3"/>
      <c r="B19" s="3"/>
      <c r="C19" s="3"/>
      <c r="D19" s="3"/>
      <c r="E19" s="3"/>
      <c r="F19" s="3"/>
    </row>
    <row r="20" spans="1:6" ht="24" customHeight="1" x14ac:dyDescent="0.25">
      <c r="A20" s="3"/>
      <c r="B20" s="3"/>
      <c r="C20" s="3"/>
      <c r="D20" s="3"/>
      <c r="E20" s="3"/>
      <c r="F20" s="3"/>
    </row>
    <row r="21" spans="1:6" ht="24" customHeight="1" x14ac:dyDescent="0.25">
      <c r="A21" s="3"/>
      <c r="B21" s="3"/>
      <c r="C21" s="3"/>
      <c r="D21" s="3"/>
      <c r="E21" s="3"/>
      <c r="F21" s="3"/>
    </row>
    <row r="22" spans="1:6" ht="24" customHeight="1" x14ac:dyDescent="0.25">
      <c r="A22" s="3"/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workbookViewId="0">
      <selection activeCell="C9" sqref="C9"/>
    </sheetView>
  </sheetViews>
  <sheetFormatPr baseColWidth="10" defaultColWidth="11.42578125" defaultRowHeight="15" x14ac:dyDescent="0.25"/>
  <cols>
    <col min="1" max="1" width="25.5703125" style="6" customWidth="1"/>
    <col min="2" max="2" width="22.28515625" style="6" bestFit="1" customWidth="1"/>
    <col min="3" max="3" width="21" style="6" bestFit="1" customWidth="1"/>
    <col min="4" max="4" width="6.42578125" style="6" bestFit="1" customWidth="1"/>
    <col min="5" max="5" width="21.42578125" style="6" bestFit="1" customWidth="1"/>
    <col min="6" max="6" width="6.42578125" style="6" bestFit="1" customWidth="1"/>
    <col min="7" max="7" width="28.85546875" style="6" bestFit="1" customWidth="1"/>
    <col min="8" max="8" width="26.85546875" style="6" customWidth="1"/>
    <col min="9" max="16384" width="11.42578125" style="6"/>
  </cols>
  <sheetData>
    <row r="1" spans="1:8" ht="15.75" thickBot="1" x14ac:dyDescent="0.3"/>
    <row r="2" spans="1:8" s="18" customFormat="1" ht="33" customHeight="1" x14ac:dyDescent="0.25">
      <c r="A2" s="17" t="s">
        <v>43</v>
      </c>
      <c r="B2" s="19" t="s">
        <v>48</v>
      </c>
      <c r="C2" s="24" t="s">
        <v>49</v>
      </c>
      <c r="D2" s="25" t="s">
        <v>50</v>
      </c>
      <c r="E2" s="24" t="s">
        <v>52</v>
      </c>
      <c r="F2" s="25" t="s">
        <v>50</v>
      </c>
      <c r="G2" s="21" t="s">
        <v>51</v>
      </c>
      <c r="H2" s="17" t="s">
        <v>42</v>
      </c>
    </row>
    <row r="3" spans="1:8" ht="33" customHeight="1" x14ac:dyDescent="0.25">
      <c r="A3" s="16"/>
      <c r="B3" s="20"/>
      <c r="C3" s="26"/>
      <c r="D3" s="27"/>
      <c r="E3" s="26"/>
      <c r="F3" s="27"/>
      <c r="G3" s="22"/>
      <c r="H3" s="3"/>
    </row>
    <row r="4" spans="1:8" ht="33" customHeight="1" x14ac:dyDescent="0.25">
      <c r="A4" s="16"/>
      <c r="B4" s="20"/>
      <c r="C4" s="26"/>
      <c r="D4" s="27"/>
      <c r="E4" s="26"/>
      <c r="F4" s="27"/>
      <c r="G4" s="22"/>
      <c r="H4" s="3"/>
    </row>
    <row r="5" spans="1:8" ht="33" customHeight="1" x14ac:dyDescent="0.25">
      <c r="A5" s="16"/>
      <c r="B5" s="20"/>
      <c r="C5" s="26"/>
      <c r="D5" s="27"/>
      <c r="E5" s="26"/>
      <c r="F5" s="27"/>
      <c r="G5" s="22"/>
      <c r="H5" s="3"/>
    </row>
    <row r="6" spans="1:8" ht="33" customHeight="1" x14ac:dyDescent="0.25">
      <c r="A6" s="16"/>
      <c r="B6" s="20"/>
      <c r="C6" s="26"/>
      <c r="D6" s="27"/>
      <c r="E6" s="26"/>
      <c r="F6" s="27"/>
      <c r="G6" s="22"/>
      <c r="H6" s="3"/>
    </row>
    <row r="7" spans="1:8" ht="33" customHeight="1" x14ac:dyDescent="0.25">
      <c r="A7" s="16"/>
      <c r="B7" s="20"/>
      <c r="C7" s="26"/>
      <c r="D7" s="27"/>
      <c r="E7" s="26"/>
      <c r="F7" s="27"/>
      <c r="G7" s="22"/>
      <c r="H7" s="3"/>
    </row>
    <row r="8" spans="1:8" ht="33" customHeight="1" x14ac:dyDescent="0.25">
      <c r="A8" s="16"/>
      <c r="B8" s="20"/>
      <c r="C8" s="26"/>
      <c r="D8" s="27"/>
      <c r="E8" s="26"/>
      <c r="F8" s="27"/>
      <c r="G8" s="22"/>
      <c r="H8" s="3"/>
    </row>
    <row r="9" spans="1:8" ht="33" customHeight="1" x14ac:dyDescent="0.25">
      <c r="A9" s="16"/>
      <c r="B9" s="20"/>
      <c r="C9" s="26"/>
      <c r="D9" s="27"/>
      <c r="E9" s="26"/>
      <c r="F9" s="27"/>
      <c r="G9" s="22"/>
      <c r="H9" s="3"/>
    </row>
    <row r="10" spans="1:8" ht="33" customHeight="1" x14ac:dyDescent="0.25">
      <c r="A10" s="16"/>
      <c r="B10" s="20"/>
      <c r="C10" s="26"/>
      <c r="D10" s="27"/>
      <c r="E10" s="26"/>
      <c r="F10" s="27"/>
      <c r="G10" s="22"/>
      <c r="H10" s="3"/>
    </row>
    <row r="11" spans="1:8" ht="33" customHeight="1" x14ac:dyDescent="0.25">
      <c r="A11" s="16"/>
      <c r="B11" s="20"/>
      <c r="C11" s="26"/>
      <c r="D11" s="27"/>
      <c r="E11" s="26"/>
      <c r="F11" s="27"/>
      <c r="G11" s="22"/>
      <c r="H11" s="3"/>
    </row>
    <row r="12" spans="1:8" ht="33" customHeight="1" x14ac:dyDescent="0.25">
      <c r="A12" s="16"/>
      <c r="B12" s="20"/>
      <c r="C12" s="26"/>
      <c r="D12" s="27"/>
      <c r="E12" s="26"/>
      <c r="F12" s="27"/>
      <c r="G12" s="22"/>
      <c r="H12" s="3"/>
    </row>
    <row r="13" spans="1:8" ht="33" customHeight="1" x14ac:dyDescent="0.25">
      <c r="A13" s="16"/>
      <c r="B13" s="20"/>
      <c r="C13" s="26"/>
      <c r="D13" s="27"/>
      <c r="E13" s="26"/>
      <c r="F13" s="27"/>
      <c r="G13" s="22"/>
      <c r="H13" s="3"/>
    </row>
    <row r="14" spans="1:8" ht="33" customHeight="1" x14ac:dyDescent="0.25">
      <c r="A14" s="16"/>
      <c r="B14" s="20"/>
      <c r="C14" s="26"/>
      <c r="D14" s="27"/>
      <c r="E14" s="26"/>
      <c r="F14" s="27"/>
      <c r="G14" s="22"/>
      <c r="H14" s="3"/>
    </row>
    <row r="15" spans="1:8" ht="33" customHeight="1" x14ac:dyDescent="0.25">
      <c r="A15" s="16"/>
      <c r="B15" s="20"/>
      <c r="C15" s="26"/>
      <c r="D15" s="27"/>
      <c r="E15" s="26"/>
      <c r="F15" s="27"/>
      <c r="G15" s="22"/>
      <c r="H15" s="3"/>
    </row>
    <row r="16" spans="1:8" ht="33" customHeight="1" x14ac:dyDescent="0.25">
      <c r="A16" s="16"/>
      <c r="B16" s="20"/>
      <c r="C16" s="26"/>
      <c r="D16" s="27"/>
      <c r="E16" s="26"/>
      <c r="F16" s="27"/>
      <c r="G16" s="22"/>
      <c r="H16" s="3"/>
    </row>
    <row r="17" spans="1:8" ht="33" customHeight="1" x14ac:dyDescent="0.25">
      <c r="A17" s="16"/>
      <c r="B17" s="20"/>
      <c r="C17" s="26"/>
      <c r="D17" s="27"/>
      <c r="E17" s="26"/>
      <c r="F17" s="27"/>
      <c r="G17" s="22"/>
      <c r="H17" s="3"/>
    </row>
    <row r="18" spans="1:8" ht="33" customHeight="1" x14ac:dyDescent="0.25">
      <c r="A18" s="16"/>
      <c r="B18" s="20"/>
      <c r="C18" s="26"/>
      <c r="D18" s="27"/>
      <c r="E18" s="26"/>
      <c r="F18" s="27"/>
      <c r="G18" s="22"/>
      <c r="H18" s="3"/>
    </row>
    <row r="19" spans="1:8" ht="33" customHeight="1" x14ac:dyDescent="0.25">
      <c r="A19" s="16"/>
      <c r="B19" s="20"/>
      <c r="C19" s="26"/>
      <c r="D19" s="27"/>
      <c r="E19" s="26"/>
      <c r="F19" s="27"/>
      <c r="G19" s="22"/>
      <c r="H19" s="3"/>
    </row>
    <row r="20" spans="1:8" ht="33" customHeight="1" x14ac:dyDescent="0.25">
      <c r="A20" s="16"/>
      <c r="B20" s="20"/>
      <c r="C20" s="26"/>
      <c r="D20" s="27"/>
      <c r="E20" s="26"/>
      <c r="F20" s="27"/>
      <c r="G20" s="22"/>
      <c r="H20" s="3"/>
    </row>
    <row r="21" spans="1:8" ht="33" customHeight="1" x14ac:dyDescent="0.25">
      <c r="A21" s="16"/>
      <c r="B21" s="20"/>
      <c r="C21" s="26"/>
      <c r="D21" s="27"/>
      <c r="E21" s="26"/>
      <c r="F21" s="27"/>
      <c r="G21" s="22"/>
      <c r="H21" s="3"/>
    </row>
    <row r="22" spans="1:8" ht="33" customHeight="1" x14ac:dyDescent="0.25">
      <c r="A22" s="16"/>
      <c r="B22" s="20"/>
      <c r="C22" s="26"/>
      <c r="D22" s="27"/>
      <c r="E22" s="26"/>
      <c r="F22" s="27"/>
      <c r="G22" s="22"/>
      <c r="H22" s="3"/>
    </row>
    <row r="23" spans="1:8" ht="33" customHeight="1" thickBot="1" x14ac:dyDescent="0.3">
      <c r="A23" s="16"/>
      <c r="B23" s="20"/>
      <c r="C23" s="28"/>
      <c r="D23" s="29"/>
      <c r="E23" s="28"/>
      <c r="F23" s="29"/>
      <c r="G23" s="22"/>
      <c r="H23" s="3"/>
    </row>
    <row r="24" spans="1:8" ht="33" customHeight="1" x14ac:dyDescent="0.25">
      <c r="A24" s="16"/>
      <c r="B24" s="3"/>
      <c r="C24" s="23"/>
      <c r="D24" s="23"/>
      <c r="E24" s="23"/>
      <c r="F24" s="23"/>
      <c r="G24" s="3"/>
      <c r="H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MTTO PREVENTIVO 5000kl </vt:lpstr>
      <vt:lpstr>BATERIAS </vt:lpstr>
      <vt:lpstr>CAUCHOS SENCILLO  </vt:lpstr>
      <vt:lpstr>BANDAS </vt:lpstr>
      <vt:lpstr>CORREAS </vt:lpstr>
      <vt:lpstr>IMPREMENTOS </vt:lpstr>
      <vt:lpstr>TIPOS DE ACEITE </vt:lpstr>
      <vt:lpstr>TIPOS DE CORREAS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VELASQUEZ</dc:creator>
  <cp:lastModifiedBy>clavellino clavellino</cp:lastModifiedBy>
  <cp:lastPrinted>2025-02-10T15:14:07Z</cp:lastPrinted>
  <dcterms:created xsi:type="dcterms:W3CDTF">2025-01-15T13:45:06Z</dcterms:created>
  <dcterms:modified xsi:type="dcterms:W3CDTF">2026-04-17T12:52:00Z</dcterms:modified>
</cp:coreProperties>
</file>